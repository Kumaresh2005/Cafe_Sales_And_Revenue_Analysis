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7914B0DD-7BDB-4CA5-B3F1-C3D532B386B5}" xr6:coauthVersionLast="47" xr6:coauthVersionMax="47" xr10:uidLastSave="{00000000-0000-0000-0000-000000000000}"/>
  <bookViews>
    <workbookView xWindow="-108" yWindow="-108" windowWidth="23256" windowHeight="12456" activeTab="2" xr2:uid="{8A5ACD60-98C8-4FE9-BC28-F475C67F666C}"/>
  </bookViews>
  <sheets>
    <sheet name="Sheet1" sheetId="5" r:id="rId1"/>
    <sheet name="9. Sales-Data-Analysis" sheetId="1" r:id="rId2"/>
    <sheet name="dashboard 1" sheetId="2" r:id="rId3"/>
    <sheet name="charts" sheetId="4" r:id="rId4"/>
  </sheets>
  <definedNames>
    <definedName name="Slicer_Payment_Method">#N/A</definedName>
    <definedName name="Slicer_Purchase_Type">#N/A</definedName>
  </definedNames>
  <calcPr calcId="191029"/>
  <pivotCaches>
    <pivotCache cacheId="0" r:id="rId5"/>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J2"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alcChain>
</file>

<file path=xl/sharedStrings.xml><?xml version="1.0" encoding="utf-8"?>
<sst xmlns="http://schemas.openxmlformats.org/spreadsheetml/2006/main" count="1343" uniqueCount="57">
  <si>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</si>
  <si>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</si>
  <si>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</si>
  <si>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</si>
  <si>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</si>
  <si>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</si>
  <si>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</si>
  <si>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</si>
  <si>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</si>
  <si>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</si>
  <si>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</si>
  <si>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</si>
  <si>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</si>
  <si>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</si>
  <si>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</si>
  <si>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</si>
  <si>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</si>
  <si>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</si>
  <si>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</si>
  <si>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</si>
  <si>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</si>
  <si>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</si>
  <si>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</si>
  <si>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</si>
  <si>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</si>
  <si>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</si>
  <si>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</si>
  <si>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</si>
  <si>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</si>
  <si>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</si>
  <si>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</si>
  <si>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</si>
  <si>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</si>
  <si>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</si>
  <si>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</si>
  <si>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</si>
  <si>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</si>
  <si>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</si>
  <si>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</si>
  <si>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(blank)</t>
  </si>
  <si>
    <t>Grand Total</t>
  </si>
  <si>
    <t>Row Labels</t>
  </si>
  <si>
    <t>Revenue</t>
  </si>
  <si>
    <t>Day</t>
  </si>
  <si>
    <t>Sunday</t>
  </si>
  <si>
    <t>Monday</t>
  </si>
  <si>
    <t>Tuesday</t>
  </si>
  <si>
    <t>Wednesday</t>
  </si>
  <si>
    <t>Thursday</t>
  </si>
  <si>
    <t>Friday</t>
  </si>
  <si>
    <t>Saturday</t>
  </si>
  <si>
    <t>Sum of Revenue</t>
  </si>
  <si>
    <t>year</t>
  </si>
  <si>
    <t>Count of Order ID</t>
  </si>
  <si>
    <t>Max of Price</t>
  </si>
  <si>
    <t>Sum of Price</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</si>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</sst>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0.249977111117893"/>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17" fillId="33" borderId="0" xfId="0" applyFont="1" applyFill="1"/>
    <xf numFmtId="1" fontId="0" fillId="0" borderId="0" xfId="0" applyNumberFormat="1"/>
    <xf numFmtId="0" fontId="0" fillId="0" borderId="0" xfId="0" applyNumberFormat="1"/>
    <xf numFmtId="0" fontId="17" fillId="34" borderId="10" xfId="0" applyFont="1" applyFill="1" applyBorder="1"/>
    <xf numFmtId="0" fontId="17" fillId="34" borderId="11" xfId="0" applyFont="1" applyFill="1" applyBorder="1"/>
    <xf numFmtId="0" fontId="17" fillId="34" borderId="12" xfId="0" applyFont="1" applyFill="1" applyBorder="1"/>
    <xf numFmtId="0" fontId="17" fillId="34" borderId="13" xfId="0" applyFont="1" applyFill="1" applyBorder="1"/>
    <xf numFmtId="0" fontId="17" fillId="34" borderId="0" xfId="0" applyFont="1" applyFill="1" applyBorder="1"/>
    <xf numFmtId="0" fontId="17" fillId="34" borderId="14" xfId="0" applyFont="1" applyFill="1" applyBorder="1"/>
    <xf numFmtId="0" fontId="17" fillId="34" borderId="15" xfId="0" applyFont="1" applyFill="1" applyBorder="1"/>
    <xf numFmtId="0" fontId="17" fillId="34" borderId="16" xfId="0" applyFont="1" applyFill="1" applyBorder="1"/>
    <xf numFmtId="0" fontId="17" fillId="34" borderId="17"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Sales-Data-Analysis.csv.xlsx]Sheet1!PivotTable8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Sheet1!$A$4:$A$10</c:f>
              <c:strCache>
                <c:ptCount val="6"/>
                <c:pt idx="0">
                  <c:v>Beverages</c:v>
                </c:pt>
                <c:pt idx="1">
                  <c:v>Burgers</c:v>
                </c:pt>
                <c:pt idx="2">
                  <c:v>Chicken Sandwiches</c:v>
                </c:pt>
                <c:pt idx="3">
                  <c:v>Fries</c:v>
                </c:pt>
                <c:pt idx="4">
                  <c:v>Sides &amp; Other</c:v>
                </c:pt>
                <c:pt idx="5">
                  <c:v>(blank)</c:v>
                </c:pt>
              </c:strCache>
            </c:strRef>
          </c:cat>
          <c:val>
            <c:numRef>
              <c:f>Sheet1!$B$4:$B$10</c:f>
              <c:numCache>
                <c:formatCode>General</c:formatCode>
                <c:ptCount val="6"/>
                <c:pt idx="0">
                  <c:v>2.95</c:v>
                </c:pt>
                <c:pt idx="1">
                  <c:v>12.99</c:v>
                </c:pt>
                <c:pt idx="2">
                  <c:v>29.05</c:v>
                </c:pt>
                <c:pt idx="3">
                  <c:v>25.5</c:v>
                </c:pt>
                <c:pt idx="4">
                  <c:v>4.99</c:v>
                </c:pt>
              </c:numCache>
            </c:numRef>
          </c:val>
          <c:extLst>
            <c:ext xmlns:c16="http://schemas.microsoft.com/office/drawing/2014/chart" uri="{C3380CC4-5D6E-409C-BE32-E72D297353CC}">
              <c16:uniqueId val="{00000000-56AB-43F5-B186-243E5C7228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ADLaM Display" panose="02010000000000000000" pitchFamily="2" charset="0"/>
                <a:ea typeface="ADLaM Display" panose="02010000000000000000" pitchFamily="2" charset="0"/>
                <a:cs typeface="ADLaM Display" panose="02010000000000000000" pitchFamily="2" charset="0"/>
              </a:rPr>
              <a:t>Days Wise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1979669987521"/>
          <c:y val="0.23280307955851479"/>
          <c:w val="0.8287134443412667"/>
          <c:h val="0.61743876538400899"/>
        </c:manualLayout>
      </c:layout>
      <c:barChart>
        <c:barDir val="col"/>
        <c:grouping val="clustered"/>
        <c:varyColors val="0"/>
        <c:ser>
          <c:idx val="0"/>
          <c:order val="0"/>
          <c:tx>
            <c:strRef>
              <c:f>charts!$C$4</c:f>
              <c:strCache>
                <c:ptCount val="1"/>
                <c:pt idx="0">
                  <c:v>Total</c:v>
                </c:pt>
              </c:strCache>
            </c:strRef>
          </c:tx>
          <c:spPr>
            <a:solidFill>
              <a:srgbClr val="FFC000"/>
            </a:solidFill>
            <a:ln>
              <a:solidFill>
                <a:schemeClr val="accent1"/>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charts!$B$5:$B$12</c:f>
              <c:strCache>
                <c:ptCount val="7"/>
                <c:pt idx="0">
                  <c:v>Sunday</c:v>
                </c:pt>
                <c:pt idx="1">
                  <c:v>Monday</c:v>
                </c:pt>
                <c:pt idx="2">
                  <c:v>Tuesday</c:v>
                </c:pt>
                <c:pt idx="3">
                  <c:v>Wednesday</c:v>
                </c:pt>
                <c:pt idx="4">
                  <c:v>Thursday</c:v>
                </c:pt>
                <c:pt idx="5">
                  <c:v>Friday</c:v>
                </c:pt>
                <c:pt idx="6">
                  <c:v>Saturday</c:v>
                </c:pt>
              </c:strCache>
            </c:strRef>
          </c:cat>
          <c:val>
            <c:numRef>
              <c:f>charts!$C$5:$C$12</c:f>
              <c:numCache>
                <c:formatCode>0</c:formatCode>
                <c:ptCount val="7"/>
                <c:pt idx="0">
                  <c:v>105474.65649999997</c:v>
                </c:pt>
                <c:pt idx="1">
                  <c:v>112039.55739999998</c:v>
                </c:pt>
                <c:pt idx="2">
                  <c:v>114600.35209999997</c:v>
                </c:pt>
                <c:pt idx="3">
                  <c:v>117800.20879999998</c:v>
                </c:pt>
                <c:pt idx="4">
                  <c:v>116200.47279999999</c:v>
                </c:pt>
                <c:pt idx="5">
                  <c:v>101800.28089999997</c:v>
                </c:pt>
                <c:pt idx="6">
                  <c:v>101600.33069999999</c:v>
                </c:pt>
              </c:numCache>
            </c:numRef>
          </c:val>
          <c:extLst>
            <c:ext xmlns:c16="http://schemas.microsoft.com/office/drawing/2014/chart" uri="{C3380CC4-5D6E-409C-BE32-E72D297353CC}">
              <c16:uniqueId val="{00000000-B416-4F62-8B50-AA4F35E9AB01}"/>
            </c:ext>
          </c:extLst>
        </c:ser>
        <c:dLbls>
          <c:dLblPos val="outEnd"/>
          <c:showLegendKey val="0"/>
          <c:showVal val="1"/>
          <c:showCatName val="0"/>
          <c:showSerName val="0"/>
          <c:showPercent val="0"/>
          <c:showBubbleSize val="0"/>
        </c:dLbls>
        <c:gapWidth val="100"/>
        <c:overlap val="-24"/>
        <c:axId val="1715463727"/>
        <c:axId val="1715464207"/>
      </c:barChart>
      <c:catAx>
        <c:axId val="1715463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64207"/>
        <c:crosses val="autoZero"/>
        <c:auto val="1"/>
        <c:lblAlgn val="ctr"/>
        <c:lblOffset val="100"/>
        <c:noMultiLvlLbl val="0"/>
      </c:catAx>
      <c:valAx>
        <c:axId val="1715464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63727"/>
        <c:crosses val="autoZero"/>
        <c:crossBetween val="between"/>
      </c:valAx>
      <c:spPr>
        <a:noFill/>
        <a:ln>
          <a:noFill/>
        </a:ln>
        <a:effectLst/>
      </c:spPr>
    </c:plotArea>
    <c:legend>
      <c:legendPos val="r"/>
      <c:layout>
        <c:manualLayout>
          <c:xMode val="edge"/>
          <c:yMode val="edge"/>
          <c:x val="0.97803696412948382"/>
          <c:y val="0.52422426363371244"/>
          <c:w val="2.1963035870516182E-2"/>
          <c:h val="4.91903616214639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rnd" cmpd="sng" algn="ctr">
      <a:solidFill>
        <a:schemeClr val="tx1">
          <a:lumMod val="15000"/>
          <a:lumOff val="85000"/>
        </a:schemeClr>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Sales-Data-Analysis.csv.xlsx]charts!PivotTable3</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latin typeface="ADLaM Display" panose="02010000000000000000" pitchFamily="2" charset="0"/>
                <a:ea typeface="ADLaM Display" panose="02010000000000000000" pitchFamily="2" charset="0"/>
                <a:cs typeface="ADLaM Display" panose="02010000000000000000" pitchFamily="2" charset="0"/>
              </a:rPr>
              <a:t>Product Performance</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6247125735789051"/>
          <c:y val="4.12249705535924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w="15875">
            <a:solidFill>
              <a:schemeClr val="tx1">
                <a:lumMod val="15000"/>
                <a:lumOff val="8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15875">
            <a:solidFill>
              <a:schemeClr val="tx1">
                <a:lumMod val="15000"/>
                <a:lumOff val="85000"/>
              </a:schemeClr>
            </a:solidFill>
          </a:ln>
          <a:effectLst>
            <a:outerShdw blurRad="57150" dist="19050" dir="5400000" algn="ctr" rotWithShape="0">
              <a:srgbClr val="000000">
                <a:alpha val="63000"/>
              </a:srgbClr>
            </a:outerShdw>
          </a:effectLst>
        </c:spPr>
      </c:pivotFmt>
    </c:pivotFmts>
    <c:plotArea>
      <c:layout>
        <c:manualLayout>
          <c:layoutTarget val="inner"/>
          <c:xMode val="edge"/>
          <c:yMode val="edge"/>
          <c:x val="0.24863345395078626"/>
          <c:y val="0.1974676089517079"/>
          <c:w val="0.67469997284822159"/>
          <c:h val="0.63057557292970889"/>
        </c:manualLayout>
      </c:layout>
      <c:barChart>
        <c:barDir val="bar"/>
        <c:grouping val="stacked"/>
        <c:varyColors val="0"/>
        <c:ser>
          <c:idx val="0"/>
          <c:order val="0"/>
          <c:tx>
            <c:strRef>
              <c:f>charts!$C$20</c:f>
              <c:strCache>
                <c:ptCount val="1"/>
                <c:pt idx="0">
                  <c:v>Total</c:v>
                </c:pt>
              </c:strCache>
            </c:strRef>
          </c:tx>
          <c:spPr>
            <a:solidFill>
              <a:srgbClr val="FFC000"/>
            </a:solidFill>
            <a:ln w="15875">
              <a:solidFill>
                <a:schemeClr val="tx1">
                  <a:lumMod val="15000"/>
                  <a:lumOff val="85000"/>
                </a:schemeClr>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charts!$B$21:$B$26</c:f>
              <c:strCache>
                <c:ptCount val="5"/>
                <c:pt idx="0">
                  <c:v>Beverages</c:v>
                </c:pt>
                <c:pt idx="1">
                  <c:v>Burgers</c:v>
                </c:pt>
                <c:pt idx="2">
                  <c:v>Chicken Sandwiches</c:v>
                </c:pt>
                <c:pt idx="3">
                  <c:v>Fries</c:v>
                </c:pt>
                <c:pt idx="4">
                  <c:v>Sides &amp; Other</c:v>
                </c:pt>
              </c:strCache>
            </c:strRef>
          </c:cat>
          <c:val>
            <c:numRef>
              <c:f>charts!$C$21:$C$26</c:f>
              <c:numCache>
                <c:formatCode>0</c:formatCode>
                <c:ptCount val="5"/>
                <c:pt idx="0">
                  <c:v>103200.26299999992</c:v>
                </c:pt>
                <c:pt idx="1">
                  <c:v>376999.80689999991</c:v>
                </c:pt>
                <c:pt idx="2">
                  <c:v>114641.69500000002</c:v>
                </c:pt>
                <c:pt idx="3">
                  <c:v>125674.29029999988</c:v>
                </c:pt>
                <c:pt idx="4">
                  <c:v>48999.803999999967</c:v>
                </c:pt>
              </c:numCache>
            </c:numRef>
          </c:val>
          <c:extLst>
            <c:ext xmlns:c16="http://schemas.microsoft.com/office/drawing/2014/chart" uri="{C3380CC4-5D6E-409C-BE32-E72D297353CC}">
              <c16:uniqueId val="{00000000-DD4D-4B33-AD05-DA07E890F03F}"/>
            </c:ext>
          </c:extLst>
        </c:ser>
        <c:dLbls>
          <c:dLblPos val="ctr"/>
          <c:showLegendKey val="0"/>
          <c:showVal val="1"/>
          <c:showCatName val="0"/>
          <c:showSerName val="0"/>
          <c:showPercent val="0"/>
          <c:showBubbleSize val="0"/>
        </c:dLbls>
        <c:gapWidth val="180"/>
        <c:overlap val="100"/>
        <c:axId val="857308192"/>
        <c:axId val="857309632"/>
      </c:barChart>
      <c:catAx>
        <c:axId val="8573081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09632"/>
        <c:crosses val="autoZero"/>
        <c:auto val="1"/>
        <c:lblAlgn val="ctr"/>
        <c:lblOffset val="100"/>
        <c:noMultiLvlLbl val="0"/>
      </c:catAx>
      <c:valAx>
        <c:axId val="85730963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Revenue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08192"/>
        <c:crosses val="autoZero"/>
        <c:crossBetween val="between"/>
      </c:valAx>
      <c:spPr>
        <a:noFill/>
        <a:ln>
          <a:noFill/>
        </a:ln>
        <a:effectLst>
          <a:glow rad="63500">
            <a:schemeClr val="accent5">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latin typeface="ADLaM Display" panose="02010000000000000000" pitchFamily="2" charset="0"/>
                <a:ea typeface="ADLaM Display" panose="02010000000000000000" pitchFamily="2" charset="0"/>
                <a:cs typeface="ADLaM Display" panose="02010000000000000000" pitchFamily="2" charset="0"/>
              </a:rPr>
              <a:t>City Analysis</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charts!$C$41</c:f>
              <c:strCache>
                <c:ptCount val="1"/>
                <c:pt idx="0">
                  <c:v>Total</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charts!$B$42:$B$47</c:f>
              <c:strCache>
                <c:ptCount val="5"/>
                <c:pt idx="0">
                  <c:v>Berlin</c:v>
                </c:pt>
                <c:pt idx="1">
                  <c:v>Lisbon</c:v>
                </c:pt>
                <c:pt idx="2">
                  <c:v>London</c:v>
                </c:pt>
                <c:pt idx="3">
                  <c:v>Madrid</c:v>
                </c:pt>
                <c:pt idx="4">
                  <c:v>Paris</c:v>
                </c:pt>
              </c:strCache>
            </c:strRef>
          </c:cat>
          <c:val>
            <c:numRef>
              <c:f>charts!$C$42:$C$47</c:f>
              <c:numCache>
                <c:formatCode>0</c:formatCode>
                <c:ptCount val="5"/>
                <c:pt idx="0">
                  <c:v>100600.13129999998</c:v>
                </c:pt>
                <c:pt idx="1">
                  <c:v>241714.11570000008</c:v>
                </c:pt>
                <c:pt idx="2">
                  <c:v>211201.04059999986</c:v>
                </c:pt>
                <c:pt idx="3">
                  <c:v>136200.26649999997</c:v>
                </c:pt>
                <c:pt idx="4">
                  <c:v>79800.305099999983</c:v>
                </c:pt>
              </c:numCache>
            </c:numRef>
          </c:val>
          <c:extLst>
            <c:ext xmlns:c16="http://schemas.microsoft.com/office/drawing/2014/chart" uri="{C3380CC4-5D6E-409C-BE32-E72D297353CC}">
              <c16:uniqueId val="{00000000-B7C3-453F-A8F2-8DF13CA62251}"/>
            </c:ext>
          </c:extLst>
        </c:ser>
        <c:dLbls>
          <c:showLegendKey val="0"/>
          <c:showVal val="1"/>
          <c:showCatName val="0"/>
          <c:showSerName val="0"/>
          <c:showPercent val="0"/>
          <c:showBubbleSize val="0"/>
        </c:dLbls>
        <c:gapWidth val="150"/>
        <c:shape val="box"/>
        <c:axId val="857317312"/>
        <c:axId val="857319712"/>
        <c:axId val="0"/>
      </c:bar3DChart>
      <c:catAx>
        <c:axId val="8573173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319712"/>
        <c:crosses val="autoZero"/>
        <c:auto val="1"/>
        <c:lblAlgn val="ctr"/>
        <c:lblOffset val="100"/>
        <c:noMultiLvlLbl val="0"/>
      </c:catAx>
      <c:valAx>
        <c:axId val="85731971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31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2">
          <a:lumMod val="15000"/>
          <a:lumOff val="85000"/>
        </a:schemeClr>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Sales-Data-Analysis.csv.xlsx]charts!PivotTable5</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latin typeface="ADLaM Display" panose="02010000000000000000" pitchFamily="2" charset="0"/>
                <a:ea typeface="ADLaM Display" panose="02010000000000000000" pitchFamily="2" charset="0"/>
                <a:cs typeface="ADLaM Display" panose="02010000000000000000" pitchFamily="2" charset="0"/>
              </a:rPr>
              <a:t>Payment Method Analysis</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charts!$C$58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67C-4987-A057-534B5326F05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67C-4987-A057-534B5326F05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67C-4987-A057-534B5326F05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897-4CAD-A743-4911CA82277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charts!$B$59:$B$63</c:f>
              <c:strCache>
                <c:ptCount val="4"/>
                <c:pt idx="0">
                  <c:v> Cash</c:v>
                </c:pt>
                <c:pt idx="1">
                  <c:v> Credit Card</c:v>
                </c:pt>
                <c:pt idx="2">
                  <c:v> Gift Card</c:v>
                </c:pt>
                <c:pt idx="3">
                  <c:v>(blank)</c:v>
                </c:pt>
              </c:strCache>
            </c:strRef>
          </c:cat>
          <c:val>
            <c:numRef>
              <c:f>charts!$C$59:$C$63</c:f>
              <c:numCache>
                <c:formatCode>0</c:formatCode>
                <c:ptCount val="4"/>
                <c:pt idx="0">
                  <c:v>239200.23550000007</c:v>
                </c:pt>
                <c:pt idx="1">
                  <c:v>361715.02650000021</c:v>
                </c:pt>
                <c:pt idx="2">
                  <c:v>168600.59719999996</c:v>
                </c:pt>
              </c:numCache>
            </c:numRef>
          </c:val>
          <c:extLst>
            <c:ext xmlns:c16="http://schemas.microsoft.com/office/drawing/2014/chart" uri="{C3380CC4-5D6E-409C-BE32-E72D297353CC}">
              <c16:uniqueId val="{00000006-767C-4987-A057-534B5326F05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6939814085739282"/>
          <c:y val="0.38301983085447655"/>
          <c:w val="0.23379636920384947"/>
          <c:h val="0.280672936716243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DLaM Display" panose="02010000000000000000" pitchFamily="2" charset="0"/>
                <a:ea typeface="ADLaM Display" panose="02010000000000000000" pitchFamily="2" charset="0"/>
                <a:cs typeface="ADLaM Display" panose="02010000000000000000" pitchFamily="2" charset="0"/>
              </a:rPr>
              <a:t>Purchase Type</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charts!$C$71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680-4844-84FE-E894FA1126D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680-4844-84FE-E894FA1126D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680-4844-84FE-E894FA1126D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E34-46AF-AA95-116CE9EECB1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charts!$B$72:$B$76</c:f>
              <c:strCache>
                <c:ptCount val="4"/>
                <c:pt idx="0">
                  <c:v>Drive-thru </c:v>
                </c:pt>
                <c:pt idx="1">
                  <c:v>In-store </c:v>
                </c:pt>
                <c:pt idx="2">
                  <c:v>Online </c:v>
                </c:pt>
                <c:pt idx="3">
                  <c:v>(blank)</c:v>
                </c:pt>
              </c:strCache>
            </c:strRef>
          </c:cat>
          <c:val>
            <c:numRef>
              <c:f>charts!$C$72:$C$76</c:f>
              <c:numCache>
                <c:formatCode>General</c:formatCode>
                <c:ptCount val="4"/>
                <c:pt idx="0">
                  <c:v>178600.473</c:v>
                </c:pt>
                <c:pt idx="1">
                  <c:v>285713.99940000009</c:v>
                </c:pt>
                <c:pt idx="2">
                  <c:v>305201.38679999986</c:v>
                </c:pt>
              </c:numCache>
            </c:numRef>
          </c:val>
          <c:extLst>
            <c:ext xmlns:c16="http://schemas.microsoft.com/office/drawing/2014/chart" uri="{C3380CC4-5D6E-409C-BE32-E72D297353CC}">
              <c16:uniqueId val="{00000006-1680-4844-84FE-E894FA1126D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clustered"/>
        <c:varyColors val="0"/>
        <c:ser>
          <c:idx val="0"/>
          <c:order val="0"/>
          <c:tx>
            <c:strRef>
              <c:f>charts!$C$4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charts!$B$5:$B$12</c:f>
              <c:strCache>
                <c:ptCount val="7"/>
                <c:pt idx="0">
                  <c:v>Sunday</c:v>
                </c:pt>
                <c:pt idx="1">
                  <c:v>Monday</c:v>
                </c:pt>
                <c:pt idx="2">
                  <c:v>Tuesday</c:v>
                </c:pt>
                <c:pt idx="3">
                  <c:v>Wednesday</c:v>
                </c:pt>
                <c:pt idx="4">
                  <c:v>Thursday</c:v>
                </c:pt>
                <c:pt idx="5">
                  <c:v>Friday</c:v>
                </c:pt>
                <c:pt idx="6">
                  <c:v>Saturday</c:v>
                </c:pt>
              </c:strCache>
            </c:strRef>
          </c:cat>
          <c:val>
            <c:numRef>
              <c:f>charts!$C$5:$C$12</c:f>
              <c:numCache>
                <c:formatCode>0</c:formatCode>
                <c:ptCount val="7"/>
                <c:pt idx="0">
                  <c:v>105474.65649999997</c:v>
                </c:pt>
                <c:pt idx="1">
                  <c:v>112039.55739999998</c:v>
                </c:pt>
                <c:pt idx="2">
                  <c:v>114600.35209999997</c:v>
                </c:pt>
                <c:pt idx="3">
                  <c:v>117800.20879999998</c:v>
                </c:pt>
                <c:pt idx="4">
                  <c:v>116200.47279999999</c:v>
                </c:pt>
                <c:pt idx="5">
                  <c:v>101800.28089999997</c:v>
                </c:pt>
                <c:pt idx="6">
                  <c:v>101600.33069999999</c:v>
                </c:pt>
              </c:numCache>
            </c:numRef>
          </c:val>
          <c:extLst>
            <c:ext xmlns:c16="http://schemas.microsoft.com/office/drawing/2014/chart" uri="{C3380CC4-5D6E-409C-BE32-E72D297353CC}">
              <c16:uniqueId val="{00000000-369C-4D90-B017-3E35302B8579}"/>
            </c:ext>
          </c:extLst>
        </c:ser>
        <c:dLbls>
          <c:dLblPos val="outEnd"/>
          <c:showLegendKey val="0"/>
          <c:showVal val="1"/>
          <c:showCatName val="0"/>
          <c:showSerName val="0"/>
          <c:showPercent val="0"/>
          <c:showBubbleSize val="0"/>
        </c:dLbls>
        <c:gapWidth val="150"/>
        <c:axId val="1715463727"/>
        <c:axId val="1715464207"/>
      </c:barChart>
      <c:catAx>
        <c:axId val="1715463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64207"/>
        <c:crosses val="autoZero"/>
        <c:auto val="1"/>
        <c:lblAlgn val="ctr"/>
        <c:lblOffset val="100"/>
        <c:noMultiLvlLbl val="0"/>
      </c:catAx>
      <c:valAx>
        <c:axId val="17154642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463727"/>
        <c:crosses val="autoZero"/>
        <c:crossBetween val="between"/>
      </c:valAx>
      <c:spPr>
        <a:noFill/>
        <a:ln>
          <a:noFill/>
        </a:ln>
        <a:effectLst/>
      </c:spPr>
    </c:plotArea>
    <c:legend>
      <c:legendPos val="r"/>
      <c:layout>
        <c:manualLayout>
          <c:xMode val="edge"/>
          <c:yMode val="edge"/>
          <c:x val="0.97803696412948382"/>
          <c:y val="0.52422426363371244"/>
          <c:w val="2.1963035870516182E-2"/>
          <c:h val="4.91903616214639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DLaM Display" panose="02010000000000000000" pitchFamily="2" charset="0"/>
                <a:ea typeface="ADLaM Display" panose="02010000000000000000" pitchFamily="2" charset="0"/>
                <a:cs typeface="ADLaM Display" panose="02010000000000000000" pitchFamily="2" charset="0"/>
              </a:rPr>
              <a:t>Product Performance</a:t>
            </a:r>
            <a:endParaRPr lang="en-US" b="1">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charts!$C$20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charts!$B$21:$B$26</c:f>
              <c:strCache>
                <c:ptCount val="5"/>
                <c:pt idx="0">
                  <c:v>Beverages</c:v>
                </c:pt>
                <c:pt idx="1">
                  <c:v>Burgers</c:v>
                </c:pt>
                <c:pt idx="2">
                  <c:v>Chicken Sandwiches</c:v>
                </c:pt>
                <c:pt idx="3">
                  <c:v>Fries</c:v>
                </c:pt>
                <c:pt idx="4">
                  <c:v>Sides &amp; Other</c:v>
                </c:pt>
              </c:strCache>
            </c:strRef>
          </c:cat>
          <c:val>
            <c:numRef>
              <c:f>charts!$C$21:$C$26</c:f>
              <c:numCache>
                <c:formatCode>0</c:formatCode>
                <c:ptCount val="5"/>
                <c:pt idx="0">
                  <c:v>103200.26299999992</c:v>
                </c:pt>
                <c:pt idx="1">
                  <c:v>376999.80689999991</c:v>
                </c:pt>
                <c:pt idx="2">
                  <c:v>114641.69500000002</c:v>
                </c:pt>
                <c:pt idx="3">
                  <c:v>125674.29029999988</c:v>
                </c:pt>
                <c:pt idx="4">
                  <c:v>48999.803999999967</c:v>
                </c:pt>
              </c:numCache>
            </c:numRef>
          </c:val>
          <c:extLst>
            <c:ext xmlns:c16="http://schemas.microsoft.com/office/drawing/2014/chart" uri="{C3380CC4-5D6E-409C-BE32-E72D297353CC}">
              <c16:uniqueId val="{00000000-B51E-4398-A4DA-CE33CE4075A0}"/>
            </c:ext>
          </c:extLst>
        </c:ser>
        <c:dLbls>
          <c:dLblPos val="ctr"/>
          <c:showLegendKey val="0"/>
          <c:showVal val="1"/>
          <c:showCatName val="0"/>
          <c:showSerName val="0"/>
          <c:showPercent val="0"/>
          <c:showBubbleSize val="0"/>
        </c:dLbls>
        <c:gapWidth val="150"/>
        <c:overlap val="100"/>
        <c:axId val="857308192"/>
        <c:axId val="857309632"/>
      </c:barChart>
      <c:catAx>
        <c:axId val="85730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09632"/>
        <c:crosses val="autoZero"/>
        <c:auto val="1"/>
        <c:lblAlgn val="ctr"/>
        <c:lblOffset val="100"/>
        <c:noMultiLvlLbl val="0"/>
      </c:catAx>
      <c:valAx>
        <c:axId val="857309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0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baseline="0">
                <a:latin typeface="ADLaM Display" panose="02010000000000000000" pitchFamily="2" charset="0"/>
                <a:ea typeface="ADLaM Display" panose="02010000000000000000" pitchFamily="2" charset="0"/>
                <a:cs typeface="ADLaM Display" panose="02010000000000000000" pitchFamily="2" charset="0"/>
              </a:rPr>
              <a:t>City Analysis</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751214295122222E-2"/>
          <c:y val="0.14579883848173447"/>
          <c:w val="0.81201198333262448"/>
          <c:h val="0.6974315193921643"/>
        </c:manualLayout>
      </c:layout>
      <c:bar3DChart>
        <c:barDir val="col"/>
        <c:grouping val="clustered"/>
        <c:varyColors val="0"/>
        <c:ser>
          <c:idx val="0"/>
          <c:order val="0"/>
          <c:tx>
            <c:strRef>
              <c:f>charts!$C$41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charts!$B$42:$B$47</c:f>
              <c:strCache>
                <c:ptCount val="5"/>
                <c:pt idx="0">
                  <c:v>Berlin</c:v>
                </c:pt>
                <c:pt idx="1">
                  <c:v>Lisbon</c:v>
                </c:pt>
                <c:pt idx="2">
                  <c:v>London</c:v>
                </c:pt>
                <c:pt idx="3">
                  <c:v>Madrid</c:v>
                </c:pt>
                <c:pt idx="4">
                  <c:v>Paris</c:v>
                </c:pt>
              </c:strCache>
            </c:strRef>
          </c:cat>
          <c:val>
            <c:numRef>
              <c:f>charts!$C$42:$C$47</c:f>
              <c:numCache>
                <c:formatCode>0</c:formatCode>
                <c:ptCount val="5"/>
                <c:pt idx="0">
                  <c:v>100600.13129999998</c:v>
                </c:pt>
                <c:pt idx="1">
                  <c:v>241714.11570000008</c:v>
                </c:pt>
                <c:pt idx="2">
                  <c:v>211201.04059999986</c:v>
                </c:pt>
                <c:pt idx="3">
                  <c:v>136200.26649999997</c:v>
                </c:pt>
                <c:pt idx="4">
                  <c:v>79800.305099999983</c:v>
                </c:pt>
              </c:numCache>
            </c:numRef>
          </c:val>
          <c:extLst>
            <c:ext xmlns:c16="http://schemas.microsoft.com/office/drawing/2014/chart" uri="{C3380CC4-5D6E-409C-BE32-E72D297353CC}">
              <c16:uniqueId val="{00000000-BFEC-45EA-B868-3CACF311E3FF}"/>
            </c:ext>
          </c:extLst>
        </c:ser>
        <c:dLbls>
          <c:showLegendKey val="0"/>
          <c:showVal val="0"/>
          <c:showCatName val="0"/>
          <c:showSerName val="0"/>
          <c:showPercent val="0"/>
          <c:showBubbleSize val="0"/>
        </c:dLbls>
        <c:gapWidth val="150"/>
        <c:shape val="box"/>
        <c:axId val="857317312"/>
        <c:axId val="857319712"/>
        <c:axId val="0"/>
      </c:bar3DChart>
      <c:catAx>
        <c:axId val="8573173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319712"/>
        <c:crosses val="autoZero"/>
        <c:auto val="1"/>
        <c:lblAlgn val="ctr"/>
        <c:lblOffset val="100"/>
        <c:noMultiLvlLbl val="0"/>
      </c:catAx>
      <c:valAx>
        <c:axId val="857319712"/>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31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Sales-Data-Analysis.csv.xlsx]charts!PivotTable5</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400" b="1" i="0" u="none" strike="noStrike" cap="all" baseline="0"/>
              <a:t>Payment Method Analysis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635493140267074"/>
          <c:y val="0.23466913957400354"/>
          <c:w val="0.35919259784711283"/>
          <c:h val="0.66330893146903491"/>
        </c:manualLayout>
      </c:layout>
      <c:doughnutChart>
        <c:varyColors val="1"/>
        <c:ser>
          <c:idx val="0"/>
          <c:order val="0"/>
          <c:tx>
            <c:strRef>
              <c:f>charts!$C$58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F8-4B23-80A0-11ED27512C0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F8-4B23-80A0-11ED27512C0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0F8-4B23-80A0-11ED27512C0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0F8-4B23-80A0-11ED27512C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charts!$B$59:$B$63</c:f>
              <c:strCache>
                <c:ptCount val="4"/>
                <c:pt idx="0">
                  <c:v> Cash</c:v>
                </c:pt>
                <c:pt idx="1">
                  <c:v> Credit Card</c:v>
                </c:pt>
                <c:pt idx="2">
                  <c:v> Gift Card</c:v>
                </c:pt>
                <c:pt idx="3">
                  <c:v>(blank)</c:v>
                </c:pt>
              </c:strCache>
            </c:strRef>
          </c:cat>
          <c:val>
            <c:numRef>
              <c:f>charts!$C$59:$C$63</c:f>
              <c:numCache>
                <c:formatCode>0</c:formatCode>
                <c:ptCount val="4"/>
                <c:pt idx="0">
                  <c:v>239200.23550000007</c:v>
                </c:pt>
                <c:pt idx="1">
                  <c:v>361715.02650000021</c:v>
                </c:pt>
                <c:pt idx="2">
                  <c:v>168600.59719999996</c:v>
                </c:pt>
              </c:numCache>
            </c:numRef>
          </c:val>
          <c:extLst>
            <c:ext xmlns:c16="http://schemas.microsoft.com/office/drawing/2014/chart" uri="{C3380CC4-5D6E-409C-BE32-E72D297353CC}">
              <c16:uniqueId val="{00000000-BC75-4A64-8E84-B558F71338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39814085739282"/>
          <c:y val="0.38301983085447655"/>
          <c:w val="0.23379636920384947"/>
          <c:h val="0.280672936716243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ADLaM Display" panose="02010000000000000000" pitchFamily="2" charset="0"/>
                <a:ea typeface="ADLaM Display" panose="02010000000000000000" pitchFamily="2" charset="0"/>
                <a:cs typeface="ADLaM Display" panose="02010000000000000000" pitchFamily="2" charset="0"/>
              </a:rPr>
              <a:t>Purchase Type</a:t>
            </a:r>
            <a:endParaRPr lang="en-US">
              <a:latin typeface="ADLaM Display" panose="02010000000000000000" pitchFamily="2" charset="0"/>
              <a:ea typeface="ADLaM Display" panose="02010000000000000000" pitchFamily="2" charset="0"/>
              <a:cs typeface="ADLaM Display" panose="02010000000000000000"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charts!$C$71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98-4921-9487-A7ABA08DDB9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98-4921-9487-A7ABA08DDB9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98-4921-9487-A7ABA08DDB9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A98-4921-9487-A7ABA08DDB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charts!$B$72:$B$76</c:f>
              <c:strCache>
                <c:ptCount val="4"/>
                <c:pt idx="0">
                  <c:v>Drive-thru </c:v>
                </c:pt>
                <c:pt idx="1">
                  <c:v>In-store </c:v>
                </c:pt>
                <c:pt idx="2">
                  <c:v>Online </c:v>
                </c:pt>
                <c:pt idx="3">
                  <c:v>(blank)</c:v>
                </c:pt>
              </c:strCache>
            </c:strRef>
          </c:cat>
          <c:val>
            <c:numRef>
              <c:f>charts!$C$72:$C$76</c:f>
              <c:numCache>
                <c:formatCode>General</c:formatCode>
                <c:ptCount val="4"/>
                <c:pt idx="0">
                  <c:v>178600.473</c:v>
                </c:pt>
                <c:pt idx="1">
                  <c:v>285713.99940000009</c:v>
                </c:pt>
                <c:pt idx="2">
                  <c:v>305201.38679999986</c:v>
                </c:pt>
              </c:numCache>
            </c:numRef>
          </c:val>
          <c:extLst>
            <c:ext xmlns:c16="http://schemas.microsoft.com/office/drawing/2014/chart" uri="{C3380CC4-5D6E-409C-BE32-E72D297353CC}">
              <c16:uniqueId val="{00000000-2484-4F8F-A13C-70FA98439C6F}"/>
            </c:ext>
          </c:extLst>
        </c:ser>
        <c:dLbls>
          <c:showLegendKey val="0"/>
          <c:showVal val="0"/>
          <c:showCatName val="0"/>
          <c:showSerName val="0"/>
          <c:showPercent val="0"/>
          <c:showBubbleSize val="0"/>
          <c:showLeaderLines val="0"/>
        </c:dLbls>
      </c:pie3D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Sales-Data-Analysis.csv.xlsx]charts!PivotTable1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charts!$P$2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charts!$O$3:$O$9</c:f>
              <c:strCache>
                <c:ptCount val="6"/>
                <c:pt idx="0">
                  <c:v>Beverages</c:v>
                </c:pt>
                <c:pt idx="1">
                  <c:v>Burgers</c:v>
                </c:pt>
                <c:pt idx="2">
                  <c:v>Chicken Sandwiches</c:v>
                </c:pt>
                <c:pt idx="3">
                  <c:v>Fries</c:v>
                </c:pt>
                <c:pt idx="4">
                  <c:v>Sides &amp; Other</c:v>
                </c:pt>
                <c:pt idx="5">
                  <c:v>(blank)</c:v>
                </c:pt>
              </c:strCache>
            </c:strRef>
          </c:cat>
          <c:val>
            <c:numRef>
              <c:f>charts!$P$3:$P$9</c:f>
              <c:numCache>
                <c:formatCode>General</c:formatCode>
                <c:ptCount val="6"/>
                <c:pt idx="0">
                  <c:v>147.5</c:v>
                </c:pt>
                <c:pt idx="1">
                  <c:v>675.48000000000036</c:v>
                </c:pt>
                <c:pt idx="2">
                  <c:v>536.49999999999966</c:v>
                </c:pt>
                <c:pt idx="3">
                  <c:v>200.00000000000011</c:v>
                </c:pt>
                <c:pt idx="4">
                  <c:v>244.51000000000016</c:v>
                </c:pt>
              </c:numCache>
            </c:numRef>
          </c:val>
          <c:extLst>
            <c:ext xmlns:c16="http://schemas.microsoft.com/office/drawing/2014/chart" uri="{C3380CC4-5D6E-409C-BE32-E72D297353CC}">
              <c16:uniqueId val="{00000000-097C-4CBF-B4B7-4BFB6F60D41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4.xml"/><Relationship Id="rId7" Type="http://schemas.openxmlformats.org/officeDocument/2006/relationships/image" Target="../media/image2.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541020</xdr:colOff>
      <xdr:row>6</xdr:row>
      <xdr:rowOff>41910</xdr:rowOff>
    </xdr:from>
    <xdr:to>
      <xdr:col>11</xdr:col>
      <xdr:colOff>236220</xdr:colOff>
      <xdr:row>21</xdr:row>
      <xdr:rowOff>41910</xdr:rowOff>
    </xdr:to>
    <xdr:graphicFrame macro="">
      <xdr:nvGraphicFramePr>
        <xdr:cNvPr id="2" name="Chart 1">
          <a:extLst>
            <a:ext uri="{FF2B5EF4-FFF2-40B4-BE49-F238E27FC236}">
              <a16:creationId xmlns:a16="http://schemas.microsoft.com/office/drawing/2014/main" id="{331ABF6C-0188-4A93-DCC0-7AC3795FC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450761</xdr:colOff>
      <xdr:row>5</xdr:row>
      <xdr:rowOff>22860</xdr:rowOff>
    </xdr:from>
    <xdr:to>
      <xdr:col>13</xdr:col>
      <xdr:colOff>0</xdr:colOff>
      <xdr:row>16</xdr:row>
      <xdr:rowOff>167640</xdr:rowOff>
    </xdr:to>
    <xdr:graphicFrame macro="">
      <xdr:nvGraphicFramePr>
        <xdr:cNvPr id="4" name="Chart 3">
          <a:extLst>
            <a:ext uri="{FF2B5EF4-FFF2-40B4-BE49-F238E27FC236}">
              <a16:creationId xmlns:a16="http://schemas.microsoft.com/office/drawing/2014/main" id="{AAE91708-620E-4D84-BD75-005582AD0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225380</xdr:colOff>
      <xdr:row>5</xdr:row>
      <xdr:rowOff>45720</xdr:rowOff>
    </xdr:from>
    <xdr:to>
      <xdr:col>21</xdr:col>
      <xdr:colOff>350520</xdr:colOff>
      <xdr:row>17</xdr:row>
      <xdr:rowOff>7620</xdr:rowOff>
    </xdr:to>
    <xdr:graphicFrame macro="">
      <xdr:nvGraphicFramePr>
        <xdr:cNvPr id="5" name="Chart 4">
          <a:extLst>
            <a:ext uri="{FF2B5EF4-FFF2-40B4-BE49-F238E27FC236}">
              <a16:creationId xmlns:a16="http://schemas.microsoft.com/office/drawing/2014/main" id="{A1B0AF2C-4005-4E51-ACBE-D6C022DD4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368873</xdr:colOff>
      <xdr:row>18</xdr:row>
      <xdr:rowOff>44324</xdr:rowOff>
    </xdr:from>
    <xdr:to>
      <xdr:col>21</xdr:col>
      <xdr:colOff>361253</xdr:colOff>
      <xdr:row>31</xdr:row>
      <xdr:rowOff>21464</xdr:rowOff>
    </xdr:to>
    <xdr:graphicFrame macro="">
      <xdr:nvGraphicFramePr>
        <xdr:cNvPr id="6" name="Chart 5">
          <a:extLst>
            <a:ext uri="{FF2B5EF4-FFF2-40B4-BE49-F238E27FC236}">
              <a16:creationId xmlns:a16="http://schemas.microsoft.com/office/drawing/2014/main" id="{A8FFEFEE-DC1C-4CBD-A166-9F741596A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18</xdr:row>
      <xdr:rowOff>22860</xdr:rowOff>
    </xdr:from>
    <xdr:to>
      <xdr:col>6</xdr:col>
      <xdr:colOff>533400</xdr:colOff>
      <xdr:row>31</xdr:row>
      <xdr:rowOff>15240</xdr:rowOff>
    </xdr:to>
    <xdr:graphicFrame macro="">
      <xdr:nvGraphicFramePr>
        <xdr:cNvPr id="7" name="Chart 6">
          <a:extLst>
            <a:ext uri="{FF2B5EF4-FFF2-40B4-BE49-F238E27FC236}">
              <a16:creationId xmlns:a16="http://schemas.microsoft.com/office/drawing/2014/main" id="{1D893F85-FAD9-44FE-931D-D144227D0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99060</xdr:colOff>
      <xdr:row>18</xdr:row>
      <xdr:rowOff>30479</xdr:rowOff>
    </xdr:from>
    <xdr:to>
      <xdr:col>14</xdr:col>
      <xdr:colOff>259080</xdr:colOff>
      <xdr:row>31</xdr:row>
      <xdr:rowOff>10731</xdr:rowOff>
    </xdr:to>
    <xdr:graphicFrame macro="">
      <xdr:nvGraphicFramePr>
        <xdr:cNvPr id="8" name="Chart 7">
          <a:extLst>
            <a:ext uri="{FF2B5EF4-FFF2-40B4-BE49-F238E27FC236}">
              <a16:creationId xmlns:a16="http://schemas.microsoft.com/office/drawing/2014/main" id="{B184663A-7D1B-4679-BD91-FB5DA8F0B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609385</xdr:colOff>
      <xdr:row>0</xdr:row>
      <xdr:rowOff>147892</xdr:rowOff>
    </xdr:from>
    <xdr:to>
      <xdr:col>9</xdr:col>
      <xdr:colOff>364901</xdr:colOff>
      <xdr:row>4</xdr:row>
      <xdr:rowOff>41212</xdr:rowOff>
    </xdr:to>
    <xdr:sp macro="" textlink="charts!C47">
      <xdr:nvSpPr>
        <xdr:cNvPr id="10" name="Rectangle: Rounded Corners 9">
          <a:extLst>
            <a:ext uri="{FF2B5EF4-FFF2-40B4-BE49-F238E27FC236}">
              <a16:creationId xmlns:a16="http://schemas.microsoft.com/office/drawing/2014/main" id="{2711869D-C46F-9F3A-1F5E-56FC9B0EBAF8}"/>
            </a:ext>
          </a:extLst>
        </xdr:cNvPr>
        <xdr:cNvSpPr/>
      </xdr:nvSpPr>
      <xdr:spPr>
        <a:xfrm>
          <a:off x="4365723" y="147892"/>
          <a:ext cx="2202502" cy="623123"/>
        </a:xfrm>
        <a:prstGeom prst="roundRect">
          <a:avLst/>
        </a:prstGeom>
        <a:solidFill>
          <a:schemeClr val="accent2"/>
        </a:solidFill>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000000"/>
              </a:solidFill>
              <a:latin typeface="Berlin Sans FB Demi" panose="020E0802020502020306" pitchFamily="34" charset="0"/>
              <a:ea typeface="Calibri"/>
              <a:cs typeface="Calibri"/>
            </a:rPr>
            <a:t>Total Revenue</a:t>
          </a:r>
        </a:p>
        <a:p>
          <a:pPr algn="ctr"/>
          <a:fld id="{6BB7E040-2336-4ABE-9C40-E78C26EBA111}" type="TxLink">
            <a:rPr lang="en-US" sz="1600" b="1" i="0" u="none" strike="noStrike">
              <a:solidFill>
                <a:srgbClr val="000000"/>
              </a:solidFill>
              <a:latin typeface="Berlin Sans FB Demi" panose="020E0802020502020306" pitchFamily="34" charset="0"/>
              <a:ea typeface="Calibri"/>
              <a:cs typeface="Calibri"/>
            </a:rPr>
            <a:pPr algn="ctr"/>
            <a:t>769516</a:t>
          </a:fld>
          <a:endParaRPr lang="en-IN" sz="1600" b="1">
            <a:latin typeface="Berlin Sans FB Demi" panose="020E0802020502020306" pitchFamily="34" charset="0"/>
          </a:endParaRPr>
        </a:p>
      </xdr:txBody>
    </xdr:sp>
    <xdr:clientData/>
  </xdr:twoCellAnchor>
  <xdr:twoCellAnchor>
    <xdr:from>
      <xdr:col>9</xdr:col>
      <xdr:colOff>547353</xdr:colOff>
      <xdr:row>0</xdr:row>
      <xdr:rowOff>140274</xdr:rowOff>
    </xdr:from>
    <xdr:to>
      <xdr:col>13</xdr:col>
      <xdr:colOff>205311</xdr:colOff>
      <xdr:row>4</xdr:row>
      <xdr:rowOff>48834</xdr:rowOff>
    </xdr:to>
    <xdr:sp macro="" textlink="charts!C86">
      <xdr:nvSpPr>
        <xdr:cNvPr id="15" name="Rectangle: Rounded Corners 14">
          <a:extLst>
            <a:ext uri="{FF2B5EF4-FFF2-40B4-BE49-F238E27FC236}">
              <a16:creationId xmlns:a16="http://schemas.microsoft.com/office/drawing/2014/main" id="{0058969C-A1CD-1A75-4912-A1ACEA68610F}"/>
            </a:ext>
          </a:extLst>
        </xdr:cNvPr>
        <xdr:cNvSpPr/>
      </xdr:nvSpPr>
      <xdr:spPr>
        <a:xfrm>
          <a:off x="6750677" y="140274"/>
          <a:ext cx="2104944" cy="638363"/>
        </a:xfrm>
        <a:prstGeom prst="roundRect">
          <a:avLst/>
        </a:prstGeom>
        <a:solidFill>
          <a:schemeClr val="accent2"/>
        </a:solidFill>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ysClr val="windowText" lastClr="000000"/>
              </a:solidFill>
              <a:latin typeface="Berlin Sans FB Demi" panose="020E0802020502020306" pitchFamily="34" charset="0"/>
              <a:ea typeface="Calibri"/>
              <a:cs typeface="Calibri"/>
            </a:rPr>
            <a:t>Total</a:t>
          </a:r>
          <a:r>
            <a:rPr lang="en-US" sz="1400" b="0" i="0" u="none" strike="noStrike" baseline="0">
              <a:solidFill>
                <a:sysClr val="windowText" lastClr="000000"/>
              </a:solidFill>
              <a:latin typeface="Berlin Sans FB Demi" panose="020E0802020502020306" pitchFamily="34" charset="0"/>
              <a:ea typeface="Calibri"/>
              <a:cs typeface="Calibri"/>
            </a:rPr>
            <a:t> Order</a:t>
          </a:r>
          <a:endParaRPr lang="en-US" sz="1400" b="0" i="0" u="none" strike="noStrike">
            <a:solidFill>
              <a:sysClr val="windowText" lastClr="000000"/>
            </a:solidFill>
            <a:latin typeface="Berlin Sans FB Demi" panose="020E0802020502020306" pitchFamily="34" charset="0"/>
            <a:ea typeface="Calibri"/>
            <a:cs typeface="Calibri"/>
          </a:endParaRPr>
        </a:p>
        <a:p>
          <a:pPr algn="ctr"/>
          <a:fld id="{A4078EA2-C1B4-4C64-BF9E-5BB23ADE8215}" type="TxLink">
            <a:rPr lang="en-US" sz="1800" b="0" i="0" u="none" strike="noStrike">
              <a:solidFill>
                <a:sysClr val="windowText" lastClr="000000"/>
              </a:solidFill>
              <a:latin typeface="Berlin Sans FB Demi" panose="020E0802020502020306" pitchFamily="34" charset="0"/>
              <a:ea typeface="Calibri"/>
              <a:cs typeface="Calibri"/>
            </a:rPr>
            <a:t>254</a:t>
          </a:fld>
          <a:endParaRPr lang="en-IN" sz="1800" b="1">
            <a:solidFill>
              <a:sysClr val="windowText" lastClr="000000"/>
            </a:solidFill>
            <a:latin typeface="Berlin Sans FB Demi" panose="020E0802020502020306" pitchFamily="34" charset="0"/>
          </a:endParaRPr>
        </a:p>
      </xdr:txBody>
    </xdr:sp>
    <xdr:clientData/>
  </xdr:twoCellAnchor>
  <xdr:twoCellAnchor>
    <xdr:from>
      <xdr:col>13</xdr:col>
      <xdr:colOff>365651</xdr:colOff>
      <xdr:row>0</xdr:row>
      <xdr:rowOff>138877</xdr:rowOff>
    </xdr:from>
    <xdr:to>
      <xdr:col>17</xdr:col>
      <xdr:colOff>96591</xdr:colOff>
      <xdr:row>4</xdr:row>
      <xdr:rowOff>47437</xdr:rowOff>
    </xdr:to>
    <xdr:sp macro="" textlink="charts!B86">
      <xdr:nvSpPr>
        <xdr:cNvPr id="16" name="Rectangle: Rounded Corners 15">
          <a:extLst>
            <a:ext uri="{FF2B5EF4-FFF2-40B4-BE49-F238E27FC236}">
              <a16:creationId xmlns:a16="http://schemas.microsoft.com/office/drawing/2014/main" id="{31A05EA2-B70D-7395-6EF1-8890125B70AF}"/>
            </a:ext>
          </a:extLst>
        </xdr:cNvPr>
        <xdr:cNvSpPr/>
      </xdr:nvSpPr>
      <xdr:spPr>
        <a:xfrm>
          <a:off x="9015961" y="138877"/>
          <a:ext cx="2177926" cy="638363"/>
        </a:xfrm>
        <a:prstGeom prst="roundRect">
          <a:avLst/>
        </a:prstGeom>
        <a:solidFill>
          <a:schemeClr val="accent2"/>
        </a:solidFill>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000000"/>
              </a:solidFill>
              <a:latin typeface="Berlin Sans FB Demi" panose="020E0802020502020306" pitchFamily="34" charset="0"/>
              <a:ea typeface="Calibri"/>
              <a:cs typeface="Calibri"/>
            </a:rPr>
            <a:t>Avg</a:t>
          </a:r>
          <a:r>
            <a:rPr lang="en-US" sz="1400" b="0" i="0" u="none" strike="noStrike" baseline="0">
              <a:solidFill>
                <a:srgbClr val="000000"/>
              </a:solidFill>
              <a:latin typeface="Berlin Sans FB Demi" panose="020E0802020502020306" pitchFamily="34" charset="0"/>
              <a:ea typeface="Calibri"/>
              <a:cs typeface="Calibri"/>
            </a:rPr>
            <a:t> Reveneu</a:t>
          </a:r>
          <a:endParaRPr lang="en-US" sz="1400" b="0" i="0" u="none" strike="noStrike">
            <a:solidFill>
              <a:srgbClr val="000000"/>
            </a:solidFill>
            <a:latin typeface="Berlin Sans FB Demi" panose="020E0802020502020306" pitchFamily="34" charset="0"/>
            <a:ea typeface="Calibri"/>
            <a:cs typeface="Calibri"/>
          </a:endParaRPr>
        </a:p>
        <a:p>
          <a:pPr algn="ctr"/>
          <a:fld id="{DF3BE256-4045-4EC4-87C8-8196AF33A915}" type="TxLink">
            <a:rPr lang="en-US" sz="1800" b="0" i="0" u="none" strike="noStrike">
              <a:solidFill>
                <a:srgbClr val="000000"/>
              </a:solidFill>
              <a:latin typeface="Berlin Sans FB Demi" panose="020E0802020502020306" pitchFamily="34" charset="0"/>
              <a:ea typeface="Calibri"/>
              <a:cs typeface="Calibri"/>
            </a:rPr>
            <a:t>3030</a:t>
          </a:fld>
          <a:endParaRPr lang="en-IN" sz="1800" b="1">
            <a:solidFill>
              <a:sysClr val="windowText" lastClr="000000"/>
            </a:solidFill>
            <a:latin typeface="Berlin Sans FB Demi" panose="020E0802020502020306" pitchFamily="34" charset="0"/>
          </a:endParaRPr>
        </a:p>
      </xdr:txBody>
    </xdr:sp>
    <xdr:clientData/>
  </xdr:twoCellAnchor>
  <xdr:twoCellAnchor>
    <xdr:from>
      <xdr:col>17</xdr:col>
      <xdr:colOff>397098</xdr:colOff>
      <xdr:row>0</xdr:row>
      <xdr:rowOff>141990</xdr:rowOff>
    </xdr:from>
    <xdr:to>
      <xdr:col>21</xdr:col>
      <xdr:colOff>272818</xdr:colOff>
      <xdr:row>4</xdr:row>
      <xdr:rowOff>50550</xdr:rowOff>
    </xdr:to>
    <xdr:sp macro="" textlink="charts!D86">
      <xdr:nvSpPr>
        <xdr:cNvPr id="17" name="Rectangle: Rounded Corners 16">
          <a:extLst>
            <a:ext uri="{FF2B5EF4-FFF2-40B4-BE49-F238E27FC236}">
              <a16:creationId xmlns:a16="http://schemas.microsoft.com/office/drawing/2014/main" id="{AF6D3C7B-8351-CB40-FD5D-5783307C83CD}"/>
            </a:ext>
          </a:extLst>
        </xdr:cNvPr>
        <xdr:cNvSpPr/>
      </xdr:nvSpPr>
      <xdr:spPr>
        <a:xfrm>
          <a:off x="11494394" y="141990"/>
          <a:ext cx="2322706" cy="638363"/>
        </a:xfrm>
        <a:prstGeom prst="roundRect">
          <a:avLst/>
        </a:prstGeom>
        <a:solidFill>
          <a:schemeClr val="accent2"/>
        </a:solidFill>
        <a:effectLst>
          <a:glow rad="635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rgbClr val="000000"/>
              </a:solidFill>
              <a:latin typeface="Berlin Sans FB Demi" panose="020E0802020502020306" pitchFamily="34" charset="0"/>
              <a:ea typeface="Calibri"/>
              <a:cs typeface="Calibri"/>
            </a:rPr>
            <a:t>Max</a:t>
          </a:r>
          <a:r>
            <a:rPr lang="en-US" sz="1400" b="0" i="0" u="none" strike="noStrike" baseline="0">
              <a:solidFill>
                <a:srgbClr val="000000"/>
              </a:solidFill>
              <a:latin typeface="Berlin Sans FB Demi" panose="020E0802020502020306" pitchFamily="34" charset="0"/>
              <a:ea typeface="Calibri"/>
              <a:cs typeface="Calibri"/>
            </a:rPr>
            <a:t> Price</a:t>
          </a:r>
          <a:endParaRPr lang="en-US" sz="1400" b="0" i="0" u="none" strike="noStrike">
            <a:solidFill>
              <a:srgbClr val="000000"/>
            </a:solidFill>
            <a:latin typeface="Berlin Sans FB Demi" panose="020E0802020502020306" pitchFamily="34" charset="0"/>
            <a:ea typeface="Calibri"/>
            <a:cs typeface="Calibri"/>
          </a:endParaRPr>
        </a:p>
        <a:p>
          <a:pPr algn="ctr"/>
          <a:fld id="{659F1F71-C96C-4F32-B21E-AA11B3257A7C}" type="TxLink">
            <a:rPr lang="en-US" sz="1600" b="0" i="0" u="none" strike="noStrike">
              <a:solidFill>
                <a:srgbClr val="000000"/>
              </a:solidFill>
              <a:latin typeface="Berlin Sans FB Demi" panose="020E0802020502020306" pitchFamily="34" charset="0"/>
              <a:ea typeface="Calibri"/>
              <a:cs typeface="Calibri"/>
            </a:rPr>
            <a:t>29.05</a:t>
          </a:fld>
          <a:endParaRPr lang="en-IN" sz="1600" b="1">
            <a:solidFill>
              <a:sysClr val="windowText" lastClr="000000"/>
            </a:solidFill>
            <a:latin typeface="Berlin Sans FB Demi" panose="020E0802020502020306" pitchFamily="34" charset="0"/>
          </a:endParaRPr>
        </a:p>
      </xdr:txBody>
    </xdr:sp>
    <xdr:clientData/>
  </xdr:twoCellAnchor>
  <xdr:twoCellAnchor editAs="oneCell">
    <xdr:from>
      <xdr:col>0</xdr:col>
      <xdr:colOff>257576</xdr:colOff>
      <xdr:row>5</xdr:row>
      <xdr:rowOff>2</xdr:rowOff>
    </xdr:from>
    <xdr:to>
      <xdr:col>3</xdr:col>
      <xdr:colOff>118056</xdr:colOff>
      <xdr:row>11</xdr:row>
      <xdr:rowOff>21466</xdr:rowOff>
    </xdr:to>
    <mc:AlternateContent xmlns:mc="http://schemas.openxmlformats.org/markup-compatibility/2006">
      <mc:Choice xmlns:a14="http://schemas.microsoft.com/office/drawing/2010/main" Requires="a14">
        <xdr:graphicFrame macro="">
          <xdr:nvGraphicFramePr>
            <xdr:cNvPr id="18" name="Purchase Type 1">
              <a:extLst>
                <a:ext uri="{FF2B5EF4-FFF2-40B4-BE49-F238E27FC236}">
                  <a16:creationId xmlns:a16="http://schemas.microsoft.com/office/drawing/2014/main" id="{FECCAD89-9A0A-4ED6-8E19-A403D543CCDE}"/>
                </a:ext>
              </a:extLst>
            </xdr:cNvPr>
            <xdr:cNvGraphicFramePr/>
          </xdr:nvGraphicFramePr>
          <xdr:xfrm>
            <a:off x="0" y="0"/>
            <a:ext cx="0" cy="0"/>
          </xdr:xfrm>
          <a:graphic>
            <a:graphicData uri="http://schemas.microsoft.com/office/drawing/2010/slicer">
              <sle:slicer xmlns:sle="http://schemas.microsoft.com/office/drawing/2010/slicer" name="Purchase Type 1"/>
            </a:graphicData>
          </a:graphic>
        </xdr:graphicFrame>
      </mc:Choice>
      <mc:Fallback>
        <xdr:sp macro="" textlink="">
          <xdr:nvSpPr>
            <xdr:cNvPr id="0" name=""/>
            <xdr:cNvSpPr>
              <a:spLocks noTextEdit="1"/>
            </xdr:cNvSpPr>
          </xdr:nvSpPr>
          <xdr:spPr>
            <a:xfrm>
              <a:off x="257576" y="912256"/>
              <a:ext cx="2393325" cy="1116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257576</xdr:colOff>
      <xdr:row>11</xdr:row>
      <xdr:rowOff>85861</xdr:rowOff>
    </xdr:from>
    <xdr:to>
      <xdr:col>3</xdr:col>
      <xdr:colOff>160984</xdr:colOff>
      <xdr:row>17</xdr:row>
      <xdr:rowOff>85859</xdr:rowOff>
    </xdr:to>
    <mc:AlternateContent xmlns:mc="http://schemas.openxmlformats.org/markup-compatibility/2006">
      <mc:Choice xmlns:a14="http://schemas.microsoft.com/office/drawing/2010/main" Requires="a14">
        <xdr:graphicFrame macro="">
          <xdr:nvGraphicFramePr>
            <xdr:cNvPr id="19" name="Payment Method 1">
              <a:extLst>
                <a:ext uri="{FF2B5EF4-FFF2-40B4-BE49-F238E27FC236}">
                  <a16:creationId xmlns:a16="http://schemas.microsoft.com/office/drawing/2014/main" id="{F7DA16A5-6873-4AB7-BF8B-C9BA391C530D}"/>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257576" y="2092819"/>
              <a:ext cx="2436253" cy="1094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75127</xdr:colOff>
      <xdr:row>0</xdr:row>
      <xdr:rowOff>75127</xdr:rowOff>
    </xdr:from>
    <xdr:to>
      <xdr:col>5</xdr:col>
      <xdr:colOff>440028</xdr:colOff>
      <xdr:row>4</xdr:row>
      <xdr:rowOff>42929</xdr:rowOff>
    </xdr:to>
    <xdr:sp macro="" textlink="">
      <xdr:nvSpPr>
        <xdr:cNvPr id="20" name="Rectangle: Rounded Corners 19">
          <a:extLst>
            <a:ext uri="{FF2B5EF4-FFF2-40B4-BE49-F238E27FC236}">
              <a16:creationId xmlns:a16="http://schemas.microsoft.com/office/drawing/2014/main" id="{4EAC18AA-0219-3366-0FD6-FF1CA033B89E}"/>
            </a:ext>
          </a:extLst>
        </xdr:cNvPr>
        <xdr:cNvSpPr/>
      </xdr:nvSpPr>
      <xdr:spPr>
        <a:xfrm>
          <a:off x="75127" y="75127"/>
          <a:ext cx="4121239" cy="697605"/>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a:latin typeface="Berlin Sans FB Demi" panose="020E0802020502020306" pitchFamily="34" charset="0"/>
            </a:rPr>
            <a:t>Cafe</a:t>
          </a:r>
          <a:r>
            <a:rPr lang="en-IN" sz="2400" baseline="0">
              <a:latin typeface="Berlin Sans FB Demi" panose="020E0802020502020306" pitchFamily="34" charset="0"/>
            </a:rPr>
            <a:t> Sales And Revenue</a:t>
          </a:r>
          <a:endParaRPr lang="en-IN" sz="2400">
            <a:latin typeface="Berlin Sans FB Demi" panose="020E0802020502020306" pitchFamily="34" charset="0"/>
          </a:endParaRPr>
        </a:p>
      </xdr:txBody>
    </xdr:sp>
    <xdr:clientData/>
  </xdr:twoCellAnchor>
  <xdr:twoCellAnchor editAs="oneCell">
    <xdr:from>
      <xdr:col>0</xdr:col>
      <xdr:colOff>139522</xdr:colOff>
      <xdr:row>0</xdr:row>
      <xdr:rowOff>72443</xdr:rowOff>
    </xdr:from>
    <xdr:to>
      <xdr:col>0</xdr:col>
      <xdr:colOff>837128</xdr:colOff>
      <xdr:row>4</xdr:row>
      <xdr:rowOff>40246</xdr:rowOff>
    </xdr:to>
    <xdr:pic>
      <xdr:nvPicPr>
        <xdr:cNvPr id="22" name="Picture 21">
          <a:extLst>
            <a:ext uri="{FF2B5EF4-FFF2-40B4-BE49-F238E27FC236}">
              <a16:creationId xmlns:a16="http://schemas.microsoft.com/office/drawing/2014/main" id="{96325B3D-FA5E-05E4-2B61-F9FE107C148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9522" y="72443"/>
          <a:ext cx="697606" cy="697606"/>
        </a:xfrm>
        <a:prstGeom prst="rect">
          <a:avLst/>
        </a:prstGeom>
      </xdr:spPr>
    </xdr:pic>
    <xdr:clientData/>
  </xdr:twoCellAnchor>
  <xdr:twoCellAnchor editAs="oneCell">
    <xdr:from>
      <xdr:col>5</xdr:col>
      <xdr:colOff>579550</xdr:colOff>
      <xdr:row>0</xdr:row>
      <xdr:rowOff>96593</xdr:rowOff>
    </xdr:from>
    <xdr:to>
      <xdr:col>7</xdr:col>
      <xdr:colOff>75127</xdr:colOff>
      <xdr:row>4</xdr:row>
      <xdr:rowOff>85860</xdr:rowOff>
    </xdr:to>
    <xdr:pic>
      <xdr:nvPicPr>
        <xdr:cNvPr id="24" name="Picture 23">
          <a:extLst>
            <a:ext uri="{FF2B5EF4-FFF2-40B4-BE49-F238E27FC236}">
              <a16:creationId xmlns:a16="http://schemas.microsoft.com/office/drawing/2014/main" id="{B0667B31-2CDE-1566-BAB1-9A72DBC53AA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35888" y="96593"/>
          <a:ext cx="719070" cy="719070"/>
        </a:xfrm>
        <a:prstGeom prst="rect">
          <a:avLst/>
        </a:prstGeom>
      </xdr:spPr>
    </xdr:pic>
    <xdr:clientData/>
  </xdr:twoCellAnchor>
  <xdr:twoCellAnchor editAs="oneCell">
    <xdr:from>
      <xdr:col>9</xdr:col>
      <xdr:colOff>517302</xdr:colOff>
      <xdr:row>0</xdr:row>
      <xdr:rowOff>109472</xdr:rowOff>
    </xdr:from>
    <xdr:to>
      <xdr:col>11</xdr:col>
      <xdr:colOff>12879</xdr:colOff>
      <xdr:row>4</xdr:row>
      <xdr:rowOff>98739</xdr:rowOff>
    </xdr:to>
    <xdr:pic>
      <xdr:nvPicPr>
        <xdr:cNvPr id="25" name="Picture 24">
          <a:extLst>
            <a:ext uri="{FF2B5EF4-FFF2-40B4-BE49-F238E27FC236}">
              <a16:creationId xmlns:a16="http://schemas.microsoft.com/office/drawing/2014/main" id="{F637B4BC-E114-498A-3461-363A6A943A7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20626" y="109472"/>
          <a:ext cx="719070" cy="719070"/>
        </a:xfrm>
        <a:prstGeom prst="rect">
          <a:avLst/>
        </a:prstGeom>
      </xdr:spPr>
    </xdr:pic>
    <xdr:clientData/>
  </xdr:twoCellAnchor>
  <xdr:twoCellAnchor editAs="oneCell">
    <xdr:from>
      <xdr:col>13</xdr:col>
      <xdr:colOff>358462</xdr:colOff>
      <xdr:row>0</xdr:row>
      <xdr:rowOff>96591</xdr:rowOff>
    </xdr:from>
    <xdr:to>
      <xdr:col>14</xdr:col>
      <xdr:colOff>513010</xdr:colOff>
      <xdr:row>4</xdr:row>
      <xdr:rowOff>133082</xdr:rowOff>
    </xdr:to>
    <xdr:pic>
      <xdr:nvPicPr>
        <xdr:cNvPr id="26" name="Picture 25">
          <a:extLst>
            <a:ext uri="{FF2B5EF4-FFF2-40B4-BE49-F238E27FC236}">
              <a16:creationId xmlns:a16="http://schemas.microsoft.com/office/drawing/2014/main" id="{E32E8C70-4808-6AE3-9FEA-3356B989765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10800000">
          <a:off x="9008772" y="96591"/>
          <a:ext cx="766294" cy="766294"/>
        </a:xfrm>
        <a:prstGeom prst="rect">
          <a:avLst/>
        </a:prstGeom>
      </xdr:spPr>
    </xdr:pic>
    <xdr:clientData/>
  </xdr:twoCellAnchor>
  <xdr:twoCellAnchor editAs="oneCell">
    <xdr:from>
      <xdr:col>17</xdr:col>
      <xdr:colOff>392806</xdr:colOff>
      <xdr:row>0</xdr:row>
      <xdr:rowOff>94442</xdr:rowOff>
    </xdr:from>
    <xdr:to>
      <xdr:col>18</xdr:col>
      <xdr:colOff>547354</xdr:colOff>
      <xdr:row>4</xdr:row>
      <xdr:rowOff>130933</xdr:rowOff>
    </xdr:to>
    <xdr:pic>
      <xdr:nvPicPr>
        <xdr:cNvPr id="27" name="Picture 26">
          <a:extLst>
            <a:ext uri="{FF2B5EF4-FFF2-40B4-BE49-F238E27FC236}">
              <a16:creationId xmlns:a16="http://schemas.microsoft.com/office/drawing/2014/main" id="{EC049D5E-47D7-AC5B-71CB-BA300E38D5B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rot="5400000">
          <a:off x="11490102" y="94442"/>
          <a:ext cx="766294" cy="76629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xdr:row>
      <xdr:rowOff>176081</xdr:rowOff>
    </xdr:from>
    <xdr:to>
      <xdr:col>12</xdr:col>
      <xdr:colOff>289560</xdr:colOff>
      <xdr:row>15</xdr:row>
      <xdr:rowOff>122517</xdr:rowOff>
    </xdr:to>
    <xdr:graphicFrame macro="">
      <xdr:nvGraphicFramePr>
        <xdr:cNvPr id="2" name="Chart 1">
          <a:extLst>
            <a:ext uri="{FF2B5EF4-FFF2-40B4-BE49-F238E27FC236}">
              <a16:creationId xmlns:a16="http://schemas.microsoft.com/office/drawing/2014/main" id="{66F41E26-ADF8-0D1D-1CF9-2ED69FA56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682065</xdr:colOff>
      <xdr:row>17</xdr:row>
      <xdr:rowOff>41910</xdr:rowOff>
    </xdr:from>
    <xdr:to>
      <xdr:col>10</xdr:col>
      <xdr:colOff>520551</xdr:colOff>
      <xdr:row>32</xdr:row>
      <xdr:rowOff>41910</xdr:rowOff>
    </xdr:to>
    <xdr:graphicFrame macro="">
      <xdr:nvGraphicFramePr>
        <xdr:cNvPr id="4" name="Chart 3">
          <a:extLst>
            <a:ext uri="{FF2B5EF4-FFF2-40B4-BE49-F238E27FC236}">
              <a16:creationId xmlns:a16="http://schemas.microsoft.com/office/drawing/2014/main" id="{CDC797F9-AC71-9581-8D50-F7BBB114CE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580315</xdr:colOff>
      <xdr:row>36</xdr:row>
      <xdr:rowOff>101675</xdr:rowOff>
    </xdr:from>
    <xdr:to>
      <xdr:col>10</xdr:col>
      <xdr:colOff>420295</xdr:colOff>
      <xdr:row>51</xdr:row>
      <xdr:rowOff>101674</xdr:rowOff>
    </xdr:to>
    <xdr:graphicFrame macro="">
      <xdr:nvGraphicFramePr>
        <xdr:cNvPr id="7" name="Chart 6">
          <a:extLst>
            <a:ext uri="{FF2B5EF4-FFF2-40B4-BE49-F238E27FC236}">
              <a16:creationId xmlns:a16="http://schemas.microsoft.com/office/drawing/2014/main" id="{5D3BC724-6BDC-311A-2ECD-6795C56A3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140747</xdr:colOff>
      <xdr:row>19</xdr:row>
      <xdr:rowOff>118409</xdr:rowOff>
    </xdr:from>
    <xdr:to>
      <xdr:col>18</xdr:col>
      <xdr:colOff>370841</xdr:colOff>
      <xdr:row>34</xdr:row>
      <xdr:rowOff>118409</xdr:rowOff>
    </xdr:to>
    <xdr:graphicFrame macro="">
      <xdr:nvGraphicFramePr>
        <xdr:cNvPr id="8" name="Chart 7">
          <a:extLst>
            <a:ext uri="{FF2B5EF4-FFF2-40B4-BE49-F238E27FC236}">
              <a16:creationId xmlns:a16="http://schemas.microsoft.com/office/drawing/2014/main" id="{AB9E07BB-063C-936F-D4BF-5509E073A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1080845</xdr:colOff>
      <xdr:row>52</xdr:row>
      <xdr:rowOff>146200</xdr:rowOff>
    </xdr:from>
    <xdr:to>
      <xdr:col>10</xdr:col>
      <xdr:colOff>353060</xdr:colOff>
      <xdr:row>67</xdr:row>
      <xdr:rowOff>146200</xdr:rowOff>
    </xdr:to>
    <xdr:graphicFrame macro="">
      <xdr:nvGraphicFramePr>
        <xdr:cNvPr id="9" name="Chart 8">
          <a:extLst>
            <a:ext uri="{FF2B5EF4-FFF2-40B4-BE49-F238E27FC236}">
              <a16:creationId xmlns:a16="http://schemas.microsoft.com/office/drawing/2014/main" id="{CA616559-FB45-D1EC-4244-D9E4A978F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209177</xdr:colOff>
      <xdr:row>5</xdr:row>
      <xdr:rowOff>40341</xdr:rowOff>
    </xdr:from>
    <xdr:to>
      <xdr:col>23</xdr:col>
      <xdr:colOff>657412</xdr:colOff>
      <xdr:row>20</xdr:row>
      <xdr:rowOff>94130</xdr:rowOff>
    </xdr:to>
    <xdr:graphicFrame macro="">
      <xdr:nvGraphicFramePr>
        <xdr:cNvPr id="15" name="Chart 14">
          <a:extLst>
            <a:ext uri="{FF2B5EF4-FFF2-40B4-BE49-F238E27FC236}">
              <a16:creationId xmlns:a16="http://schemas.microsoft.com/office/drawing/2014/main" id="{A089B603-4F66-24F3-7CE4-3C760412C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153147</xdr:colOff>
      <xdr:row>66</xdr:row>
      <xdr:rowOff>122368</xdr:rowOff>
    </xdr:from>
    <xdr:to>
      <xdr:col>10</xdr:col>
      <xdr:colOff>607359</xdr:colOff>
      <xdr:row>80</xdr:row>
      <xdr:rowOff>79226</xdr:rowOff>
    </xdr:to>
    <mc:AlternateContent xmlns:mc="http://schemas.openxmlformats.org/markup-compatibility/2006">
      <mc:Choice xmlns:a14="http://schemas.microsoft.com/office/drawing/2010/main" Requires="a14">
        <xdr:graphicFrame macro="">
          <xdr:nvGraphicFramePr>
            <xdr:cNvPr id="18" name="Purchase Type">
              <a:extLst>
                <a:ext uri="{FF2B5EF4-FFF2-40B4-BE49-F238E27FC236}">
                  <a16:creationId xmlns:a16="http://schemas.microsoft.com/office/drawing/2014/main" id="{8F718A68-5CA1-99CD-184C-E5B333A02F4C}"/>
                </a:ext>
              </a:extLst>
            </xdr:cNvPr>
            <xdr:cNvGraphicFramePr/>
          </xdr:nvGraphicFramePr>
          <xdr:xfrm>
            <a:off x="0" y="0"/>
            <a:ext cx="0" cy="0"/>
          </xdr:xfrm>
          <a:graphic>
            <a:graphicData uri="http://schemas.microsoft.com/office/drawing/2010/slicer">
              <sle:slicer xmlns:sle="http://schemas.microsoft.com/office/drawing/2010/slicer" name="Purchase Type"/>
            </a:graphicData>
          </a:graphic>
        </xdr:graphicFrame>
      </mc:Choice>
      <mc:Fallback>
        <xdr:sp macro="" textlink="">
          <xdr:nvSpPr>
            <xdr:cNvPr id="0" name=""/>
            <xdr:cNvSpPr>
              <a:spLocks noTextEdit="1"/>
            </xdr:cNvSpPr>
          </xdr:nvSpPr>
          <xdr:spPr>
            <a:xfrm>
              <a:off x="9192559" y="11955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319443</xdr:colOff>
      <xdr:row>71</xdr:row>
      <xdr:rowOff>4782</xdr:rowOff>
    </xdr:from>
    <xdr:to>
      <xdr:col>15</xdr:col>
      <xdr:colOff>71419</xdr:colOff>
      <xdr:row>84</xdr:row>
      <xdr:rowOff>140933</xdr:rowOff>
    </xdr:to>
    <mc:AlternateContent xmlns:mc="http://schemas.openxmlformats.org/markup-compatibility/2006">
      <mc:Choice xmlns:a14="http://schemas.microsoft.com/office/drawing/2010/main" Requires="a14">
        <xdr:graphicFrame macro="">
          <xdr:nvGraphicFramePr>
            <xdr:cNvPr id="19" name="Payment Method">
              <a:extLst>
                <a:ext uri="{FF2B5EF4-FFF2-40B4-BE49-F238E27FC236}">
                  <a16:creationId xmlns:a16="http://schemas.microsoft.com/office/drawing/2014/main" id="{F126ECA4-B5A9-53E5-CF20-CA64A6E68E1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2795325" y="1273466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1.915597685183" createdVersion="8" refreshedVersion="8" minRefreshableVersion="3" recordCount="255" xr:uid="{5790B244-D91A-49FA-8B43-D9D0AE67DEC9}">
  <cacheSource type="worksheet">
    <worksheetSource ref="A1:K1048576" sheet="9. Sales-Data-Analysis"/>
  </cacheSource>
  <cacheFields count="11">
    <cacheField name="Order ID" numFmtId="0">
      <sharedItems containsString="0" containsBlank="1" containsNumber="1" containsInteger="1" minValue="10452" maxValue="10713"/>
    </cacheField>
    <cacheField name="Date" numFmtId="0">
      <sharedItems containsNonDate="0" containsDate="1" containsString="0" containsBlank="1" minDate="2022-11-07T00:00:00" maxDate="2022-12-30T00:00:00" count="54">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m/>
      </sharedItems>
    </cacheField>
    <cacheField name="Product" numFmtId="0">
      <sharedItems containsBlank="1" count="6">
        <s v="Fries"/>
        <s v="Beverages"/>
        <s v="Sides &amp; Other"/>
        <s v="Burgers"/>
        <s v="Chicken Sandwiches"/>
        <m/>
      </sharedItems>
    </cacheField>
    <cacheField name="Price" numFmtId="0">
      <sharedItems containsString="0" containsBlank="1" containsNumber="1" minValue="2.95" maxValue="29.05"/>
    </cacheField>
    <cacheField name="Quantity" numFmtId="0">
      <sharedItems containsString="0" containsBlank="1" containsNumber="1" minValue="200.4" maxValue="754.43"/>
    </cacheField>
    <cacheField name="Purchase Type" numFmtId="0">
      <sharedItems containsBlank="1" count="4">
        <s v="Online "/>
        <s v="In-store "/>
        <s v="Drive-thru "/>
        <m/>
      </sharedItems>
    </cacheField>
    <cacheField name="Payment Method" numFmtId="0">
      <sharedItems containsBlank="1" count="4">
        <s v=" Gift Card"/>
        <s v=" Credit Card"/>
        <s v=" Cash"/>
        <m/>
      </sharedItems>
    </cacheField>
    <cacheField name="Manager" numFmtId="0">
      <sharedItems containsBlank="1"/>
    </cacheField>
    <cacheField name="City" numFmtId="0">
      <sharedItems containsBlank="1" count="6">
        <s v="London"/>
        <s v="Madrid"/>
        <s v="Lisbon"/>
        <s v="Berlin"/>
        <s v="Paris"/>
        <m/>
      </sharedItems>
    </cacheField>
    <cacheField name="Day" numFmtId="0">
      <sharedItems containsBlank="1" count="8">
        <s v="Monday"/>
        <s v="Tuesday"/>
        <s v="Wednesday"/>
        <s v="Thursday"/>
        <s v="Friday"/>
        <s v="Saturday"/>
        <s v="Sunday"/>
        <m/>
      </sharedItems>
    </cacheField>
    <cacheField name="Revenue" numFmtId="0">
      <sharedItems containsString="0" containsBlank="1" containsNumber="1" minValue="999.99600000000009" maxValue="16074.434999999999" count="32">
        <n v="2000.0143000000003"/>
        <n v="2199.9920000000002"/>
        <n v="999.99600000000009"/>
        <n v="7400.0132999999996"/>
        <n v="2000.0494999999999"/>
        <n v="7199.9673000000003"/>
        <n v="2000.0115000000003"/>
        <n v="2199.9913000000001"/>
        <n v="6800.0052000000005"/>
        <n v="6599.9592000000002"/>
        <n v="16074.434999999999"/>
        <n v="5839.3405000000002"/>
        <n v="7000.0511999999999"/>
        <n v="2400.0032000000001"/>
        <n v="6199.9971000000005"/>
        <n v="6400.0430999999999"/>
        <n v="5999.9511000000002"/>
        <n v="5800.0349999999999"/>
        <n v="7600.0593000000008"/>
        <n v="2200.0445"/>
        <n v="7799.9754000000003"/>
        <n v="8199.9375"/>
        <n v="8399.9835000000003"/>
        <n v="8799.9456000000009"/>
        <n v="2400.0394999999999"/>
        <n v="2600.0344999999998"/>
        <n v="8999.9916000000012"/>
        <n v="2800.0295000000001"/>
        <n v="9399.9537"/>
        <n v="3000.0244999999995"/>
        <n v="9800.0456999999988"/>
        <m/>
      </sharedItems>
    </cacheField>
  </cacheFields>
  <extLst>
    <ext xmlns:x14="http://schemas.microsoft.com/office/spreadsheetml/2009/9/main" uri="{725AE2AE-9491-48be-B2B4-4EB974FC3084}">
      <x14:pivotCacheDefinition pivotCacheId="3807153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51.959317361114" createdVersion="8" refreshedVersion="8" minRefreshableVersion="3" recordCount="255" xr:uid="{9DD39E4A-4E50-43ED-9EC2-CAA9ECFAC9E5}">
  <cacheSource type="worksheet">
    <worksheetSource ref="A1:L1048576" sheet="9. Sales-Data-Analysis"/>
  </cacheSource>
  <cacheFields count="12">
    <cacheField name="Order ID" numFmtId="0">
      <sharedItems containsString="0" containsBlank="1" containsNumber="1" containsInteger="1" minValue="10452" maxValue="10713"/>
    </cacheField>
    <cacheField name="Date" numFmtId="0">
      <sharedItems containsNonDate="0" containsDate="1" containsString="0" containsBlank="1" minDate="2022-11-07T00:00:00" maxDate="2022-12-30T00:00:00"/>
    </cacheField>
    <cacheField name="Product" numFmtId="0">
      <sharedItems containsBlank="1" count="6">
        <s v="Fries"/>
        <s v="Beverages"/>
        <s v="Sides &amp; Other"/>
        <s v="Burgers"/>
        <s v="Chicken Sandwiches"/>
        <m/>
      </sharedItems>
    </cacheField>
    <cacheField name="Price" numFmtId="0">
      <sharedItems containsString="0" containsBlank="1" containsNumber="1" minValue="2.95" maxValue="29.05"/>
    </cacheField>
    <cacheField name="Quantity" numFmtId="0">
      <sharedItems containsString="0" containsBlank="1" containsNumber="1" minValue="200.4" maxValue="754.43"/>
    </cacheField>
    <cacheField name="Purchase Type" numFmtId="0">
      <sharedItems containsBlank="1"/>
    </cacheField>
    <cacheField name="Payment Method" numFmtId="0">
      <sharedItems containsBlank="1" count="4">
        <s v=" Gift Card"/>
        <s v=" Credit Card"/>
        <s v=" Cash"/>
        <m/>
      </sharedItems>
    </cacheField>
    <cacheField name="Manager" numFmtId="0">
      <sharedItems containsBlank="1"/>
    </cacheField>
    <cacheField name="City" numFmtId="0">
      <sharedItems containsBlank="1"/>
    </cacheField>
    <cacheField name="Day" numFmtId="0">
      <sharedItems containsBlank="1"/>
    </cacheField>
    <cacheField name="Revenue" numFmtId="0">
      <sharedItems containsString="0" containsBlank="1" containsNumber="1" minValue="999.99600000000009" maxValue="16074.434999999999"/>
    </cacheField>
    <cacheField name="year" numFmtId="0">
      <sharedItems containsBlank="1"/>
    </cacheField>
  </cacheFields>
  <extLst>
    <ext xmlns:x14="http://schemas.microsoft.com/office/spreadsheetml/2009/9/main" uri="{725AE2AE-9491-48be-B2B4-4EB974FC3084}">
      <x14:pivotCacheDefinition pivotCacheId="264893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
  <r>
    <n v="10452"/>
    <x v="0"/>
    <x v="0"/>
    <n v="3.49"/>
    <n v="573.07000000000005"/>
    <x v="0"/>
    <x v="0"/>
    <s v="Tom      Jackson"/>
    <x v="0"/>
    <x v="0"/>
    <x v="0"/>
  </r>
  <r>
    <n v="10453"/>
    <x v="0"/>
    <x v="1"/>
    <n v="2.95"/>
    <n v="745.76"/>
    <x v="0"/>
    <x v="0"/>
    <s v="       Pablo Perez"/>
    <x v="1"/>
    <x v="0"/>
    <x v="1"/>
  </r>
  <r>
    <n v="10454"/>
    <x v="0"/>
    <x v="2"/>
    <n v="4.99"/>
    <n v="200.4"/>
    <x v="1"/>
    <x v="0"/>
    <s v="Joao    Silva"/>
    <x v="2"/>
    <x v="0"/>
    <x v="2"/>
  </r>
  <r>
    <n v="10455"/>
    <x v="1"/>
    <x v="3"/>
    <n v="12.99"/>
    <n v="569.66999999999996"/>
    <x v="1"/>
    <x v="1"/>
    <s v="Walter Muller"/>
    <x v="3"/>
    <x v="1"/>
    <x v="3"/>
  </r>
  <r>
    <n v="10456"/>
    <x v="1"/>
    <x v="4"/>
    <n v="9.9499999999999993"/>
    <n v="201.01"/>
    <x v="1"/>
    <x v="1"/>
    <s v="Walter Muller"/>
    <x v="3"/>
    <x v="1"/>
    <x v="4"/>
  </r>
  <r>
    <n v="10457"/>
    <x v="1"/>
    <x v="0"/>
    <n v="3.49"/>
    <n v="573.07000000000005"/>
    <x v="1"/>
    <x v="1"/>
    <s v="Remy    Monet"/>
    <x v="4"/>
    <x v="1"/>
    <x v="0"/>
  </r>
  <r>
    <n v="10459"/>
    <x v="1"/>
    <x v="2"/>
    <n v="4.99"/>
    <n v="200.4"/>
    <x v="1"/>
    <x v="1"/>
    <s v="Walter Muller"/>
    <x v="3"/>
    <x v="1"/>
    <x v="2"/>
  </r>
  <r>
    <n v="10460"/>
    <x v="2"/>
    <x v="3"/>
    <n v="12.99"/>
    <n v="554.27"/>
    <x v="1"/>
    <x v="1"/>
    <s v="Remy Monet"/>
    <x v="4"/>
    <x v="2"/>
    <x v="5"/>
  </r>
  <r>
    <n v="10461"/>
    <x v="2"/>
    <x v="4"/>
    <n v="9.9499999999999993"/>
    <n v="201.01"/>
    <x v="1"/>
    <x v="1"/>
    <s v="Remy Monet"/>
    <x v="4"/>
    <x v="2"/>
    <x v="4"/>
  </r>
  <r>
    <n v="10462"/>
    <x v="2"/>
    <x v="0"/>
    <n v="3.49"/>
    <n v="573.07000000000005"/>
    <x v="1"/>
    <x v="1"/>
    <s v="       Remy Monet"/>
    <x v="4"/>
    <x v="2"/>
    <x v="0"/>
  </r>
  <r>
    <n v="10463"/>
    <x v="2"/>
    <x v="1"/>
    <n v="2.95"/>
    <n v="677.97"/>
    <x v="1"/>
    <x v="1"/>
    <s v="       Remy Monet"/>
    <x v="4"/>
    <x v="2"/>
    <x v="6"/>
  </r>
  <r>
    <n v="10464"/>
    <x v="2"/>
    <x v="2"/>
    <n v="4.99"/>
    <n v="200.4"/>
    <x v="1"/>
    <x v="1"/>
    <s v="Remy     Monet"/>
    <x v="4"/>
    <x v="2"/>
    <x v="2"/>
  </r>
  <r>
    <n v="10465"/>
    <x v="3"/>
    <x v="3"/>
    <n v="12.99"/>
    <n v="554.27"/>
    <x v="1"/>
    <x v="1"/>
    <s v="Pablo Perez"/>
    <x v="1"/>
    <x v="3"/>
    <x v="5"/>
  </r>
  <r>
    <n v="10466"/>
    <x v="3"/>
    <x v="4"/>
    <n v="9.9499999999999993"/>
    <n v="201.01"/>
    <x v="1"/>
    <x v="1"/>
    <s v="Pablo Perez"/>
    <x v="1"/>
    <x v="3"/>
    <x v="4"/>
  </r>
  <r>
    <n v="10467"/>
    <x v="3"/>
    <x v="0"/>
    <n v="3.49"/>
    <n v="573.07000000000005"/>
    <x v="1"/>
    <x v="1"/>
    <s v="Pablo Perez"/>
    <x v="1"/>
    <x v="3"/>
    <x v="0"/>
  </r>
  <r>
    <n v="10468"/>
    <x v="3"/>
    <x v="1"/>
    <n v="2.95"/>
    <n v="677.97"/>
    <x v="1"/>
    <x v="1"/>
    <s v="       Pablo Perez"/>
    <x v="1"/>
    <x v="3"/>
    <x v="6"/>
  </r>
  <r>
    <n v="10470"/>
    <x v="4"/>
    <x v="3"/>
    <n v="12.99"/>
    <n v="554.27"/>
    <x v="1"/>
    <x v="1"/>
    <s v="       Pablo Perez"/>
    <x v="1"/>
    <x v="4"/>
    <x v="5"/>
  </r>
  <r>
    <n v="10471"/>
    <x v="4"/>
    <x v="4"/>
    <n v="9.9499999999999993"/>
    <n v="201.01"/>
    <x v="1"/>
    <x v="1"/>
    <s v="       Pablo Perez"/>
    <x v="1"/>
    <x v="4"/>
    <x v="4"/>
  </r>
  <r>
    <n v="10472"/>
    <x v="4"/>
    <x v="0"/>
    <n v="3.49"/>
    <n v="630.37"/>
    <x v="1"/>
    <x v="1"/>
    <s v="Pablo   Perez"/>
    <x v="1"/>
    <x v="4"/>
    <x v="7"/>
  </r>
  <r>
    <n v="10473"/>
    <x v="4"/>
    <x v="1"/>
    <n v="2.95"/>
    <n v="677.97"/>
    <x v="1"/>
    <x v="1"/>
    <s v="       Pablo Perez"/>
    <x v="1"/>
    <x v="4"/>
    <x v="6"/>
  </r>
  <r>
    <n v="10474"/>
    <x v="4"/>
    <x v="2"/>
    <n v="4.99"/>
    <n v="200.4"/>
    <x v="1"/>
    <x v="1"/>
    <s v="       Pablo Perez"/>
    <x v="1"/>
    <x v="4"/>
    <x v="2"/>
  </r>
  <r>
    <n v="10475"/>
    <x v="5"/>
    <x v="3"/>
    <n v="12.99"/>
    <n v="523.48"/>
    <x v="1"/>
    <x v="1"/>
    <s v="       Pablo Perez"/>
    <x v="1"/>
    <x v="5"/>
    <x v="8"/>
  </r>
  <r>
    <n v="10476"/>
    <x v="5"/>
    <x v="4"/>
    <n v="9.9499999999999993"/>
    <n v="201.01"/>
    <x v="1"/>
    <x v="1"/>
    <s v="Pablo Perez"/>
    <x v="1"/>
    <x v="5"/>
    <x v="4"/>
  </r>
  <r>
    <n v="10477"/>
    <x v="5"/>
    <x v="0"/>
    <n v="3.49"/>
    <n v="630.37"/>
    <x v="1"/>
    <x v="1"/>
    <s v="Pablo  Perez"/>
    <x v="1"/>
    <x v="5"/>
    <x v="7"/>
  </r>
  <r>
    <n v="10478"/>
    <x v="5"/>
    <x v="1"/>
    <n v="2.95"/>
    <n v="677.97"/>
    <x v="1"/>
    <x v="1"/>
    <s v="Pablo Perez"/>
    <x v="1"/>
    <x v="5"/>
    <x v="6"/>
  </r>
  <r>
    <n v="10479"/>
    <x v="5"/>
    <x v="2"/>
    <n v="4.99"/>
    <n v="200.4"/>
    <x v="1"/>
    <x v="1"/>
    <s v="Pablo    Perez"/>
    <x v="1"/>
    <x v="5"/>
    <x v="2"/>
  </r>
  <r>
    <n v="10480"/>
    <x v="6"/>
    <x v="3"/>
    <n v="12.99"/>
    <n v="508.08"/>
    <x v="1"/>
    <x v="1"/>
    <s v="Pablo Perez"/>
    <x v="1"/>
    <x v="6"/>
    <x v="9"/>
  </r>
  <r>
    <n v="10481"/>
    <x v="6"/>
    <x v="4"/>
    <n v="9.9499999999999993"/>
    <n v="201.01"/>
    <x v="1"/>
    <x v="1"/>
    <s v="Pablo Perez"/>
    <x v="1"/>
    <x v="6"/>
    <x v="4"/>
  </r>
  <r>
    <n v="10482"/>
    <x v="6"/>
    <x v="0"/>
    <n v="25.5"/>
    <n v="630.37"/>
    <x v="1"/>
    <x v="1"/>
    <s v="Joao Silva"/>
    <x v="2"/>
    <x v="6"/>
    <x v="10"/>
  </r>
  <r>
    <n v="10486"/>
    <x v="7"/>
    <x v="4"/>
    <n v="29.05"/>
    <n v="201.01"/>
    <x v="1"/>
    <x v="1"/>
    <s v="Joao    Silva"/>
    <x v="2"/>
    <x v="0"/>
    <x v="11"/>
  </r>
  <r>
    <n v="10487"/>
    <x v="7"/>
    <x v="0"/>
    <n v="3.49"/>
    <n v="630.37"/>
    <x v="1"/>
    <x v="1"/>
    <s v="Joao Silva"/>
    <x v="2"/>
    <x v="0"/>
    <x v="7"/>
  </r>
  <r>
    <n v="10488"/>
    <x v="7"/>
    <x v="1"/>
    <n v="2.95"/>
    <n v="677.97"/>
    <x v="1"/>
    <x v="1"/>
    <s v="Joao Silva"/>
    <x v="2"/>
    <x v="0"/>
    <x v="6"/>
  </r>
  <r>
    <n v="10489"/>
    <x v="7"/>
    <x v="2"/>
    <n v="4.99"/>
    <n v="200.4"/>
    <x v="1"/>
    <x v="1"/>
    <s v="Pablo Perez"/>
    <x v="1"/>
    <x v="0"/>
    <x v="2"/>
  </r>
  <r>
    <n v="10490"/>
    <x v="8"/>
    <x v="3"/>
    <n v="12.99"/>
    <n v="508.08"/>
    <x v="1"/>
    <x v="1"/>
    <s v="Pablo Perez"/>
    <x v="1"/>
    <x v="1"/>
    <x v="9"/>
  </r>
  <r>
    <n v="10491"/>
    <x v="8"/>
    <x v="4"/>
    <n v="9.9499999999999993"/>
    <n v="201.01"/>
    <x v="1"/>
    <x v="1"/>
    <s v="Pablo Perez"/>
    <x v="1"/>
    <x v="1"/>
    <x v="4"/>
  </r>
  <r>
    <n v="10492"/>
    <x v="8"/>
    <x v="0"/>
    <n v="3.49"/>
    <n v="573.07000000000005"/>
    <x v="1"/>
    <x v="1"/>
    <s v="Pablo Perez"/>
    <x v="1"/>
    <x v="1"/>
    <x v="0"/>
  </r>
  <r>
    <n v="10493"/>
    <x v="8"/>
    <x v="1"/>
    <n v="2.95"/>
    <n v="677.97"/>
    <x v="1"/>
    <x v="1"/>
    <s v="Pablo Perez"/>
    <x v="1"/>
    <x v="1"/>
    <x v="6"/>
  </r>
  <r>
    <n v="10494"/>
    <x v="8"/>
    <x v="2"/>
    <n v="4.99"/>
    <n v="200.4"/>
    <x v="1"/>
    <x v="1"/>
    <s v="Pablo Perez"/>
    <x v="1"/>
    <x v="1"/>
    <x v="2"/>
  </r>
  <r>
    <n v="10495"/>
    <x v="9"/>
    <x v="3"/>
    <n v="12.99"/>
    <n v="508.08"/>
    <x v="1"/>
    <x v="1"/>
    <s v="Pablo Perez"/>
    <x v="1"/>
    <x v="2"/>
    <x v="9"/>
  </r>
  <r>
    <n v="10496"/>
    <x v="9"/>
    <x v="4"/>
    <n v="9.9499999999999993"/>
    <n v="201.01"/>
    <x v="1"/>
    <x v="1"/>
    <s v="Pablo Perez"/>
    <x v="1"/>
    <x v="2"/>
    <x v="4"/>
  </r>
  <r>
    <n v="10497"/>
    <x v="9"/>
    <x v="0"/>
    <n v="3.49"/>
    <n v="573.07000000000005"/>
    <x v="1"/>
    <x v="1"/>
    <s v="Pablo Perez"/>
    <x v="1"/>
    <x v="2"/>
    <x v="0"/>
  </r>
  <r>
    <n v="10498"/>
    <x v="9"/>
    <x v="1"/>
    <n v="2.95"/>
    <n v="677.97"/>
    <x v="2"/>
    <x v="1"/>
    <s v="Pablo Perez"/>
    <x v="1"/>
    <x v="2"/>
    <x v="6"/>
  </r>
  <r>
    <n v="10499"/>
    <x v="9"/>
    <x v="2"/>
    <n v="4.99"/>
    <n v="200.4"/>
    <x v="2"/>
    <x v="1"/>
    <s v="Pablo Perez"/>
    <x v="1"/>
    <x v="2"/>
    <x v="2"/>
  </r>
  <r>
    <n v="10500"/>
    <x v="10"/>
    <x v="3"/>
    <n v="12.99"/>
    <n v="523.48"/>
    <x v="2"/>
    <x v="1"/>
    <s v="Pablo Perez"/>
    <x v="1"/>
    <x v="3"/>
    <x v="8"/>
  </r>
  <r>
    <n v="10501"/>
    <x v="10"/>
    <x v="4"/>
    <n v="9.9499999999999993"/>
    <n v="201.01"/>
    <x v="2"/>
    <x v="1"/>
    <s v="Pablo Perez"/>
    <x v="1"/>
    <x v="3"/>
    <x v="4"/>
  </r>
  <r>
    <n v="10502"/>
    <x v="10"/>
    <x v="0"/>
    <n v="3.49"/>
    <n v="630.37"/>
    <x v="2"/>
    <x v="1"/>
    <s v="Pablo Perez"/>
    <x v="1"/>
    <x v="3"/>
    <x v="7"/>
  </r>
  <r>
    <n v="10503"/>
    <x v="10"/>
    <x v="1"/>
    <n v="2.95"/>
    <n v="677.97"/>
    <x v="2"/>
    <x v="1"/>
    <s v="Pablo Perez"/>
    <x v="1"/>
    <x v="3"/>
    <x v="6"/>
  </r>
  <r>
    <n v="10504"/>
    <x v="10"/>
    <x v="2"/>
    <n v="4.99"/>
    <n v="200.4"/>
    <x v="2"/>
    <x v="1"/>
    <s v="Pablo Perez"/>
    <x v="1"/>
    <x v="3"/>
    <x v="2"/>
  </r>
  <r>
    <n v="10505"/>
    <x v="11"/>
    <x v="3"/>
    <n v="12.99"/>
    <n v="538.88"/>
    <x v="2"/>
    <x v="1"/>
    <s v="Pablo Perez"/>
    <x v="1"/>
    <x v="4"/>
    <x v="12"/>
  </r>
  <r>
    <n v="10506"/>
    <x v="11"/>
    <x v="4"/>
    <n v="9.9499999999999993"/>
    <n v="201.01"/>
    <x v="2"/>
    <x v="1"/>
    <s v="Pablo Perez"/>
    <x v="1"/>
    <x v="4"/>
    <x v="4"/>
  </r>
  <r>
    <n v="10507"/>
    <x v="11"/>
    <x v="0"/>
    <n v="3.49"/>
    <n v="687.68"/>
    <x v="2"/>
    <x v="1"/>
    <s v="Pablo Perez"/>
    <x v="1"/>
    <x v="4"/>
    <x v="13"/>
  </r>
  <r>
    <n v="10508"/>
    <x v="11"/>
    <x v="1"/>
    <n v="2.95"/>
    <n v="677.97"/>
    <x v="2"/>
    <x v="1"/>
    <s v="Pablo Perez"/>
    <x v="1"/>
    <x v="4"/>
    <x v="6"/>
  </r>
  <r>
    <n v="10509"/>
    <x v="11"/>
    <x v="2"/>
    <n v="4.99"/>
    <n v="200.4"/>
    <x v="2"/>
    <x v="1"/>
    <s v="Pablo Perez"/>
    <x v="1"/>
    <x v="4"/>
    <x v="2"/>
  </r>
  <r>
    <n v="10510"/>
    <x v="12"/>
    <x v="3"/>
    <n v="12.99"/>
    <n v="508.08"/>
    <x v="2"/>
    <x v="1"/>
    <s v="Pablo Perez"/>
    <x v="1"/>
    <x v="5"/>
    <x v="9"/>
  </r>
  <r>
    <n v="10511"/>
    <x v="12"/>
    <x v="4"/>
    <n v="9.9499999999999993"/>
    <n v="201.01"/>
    <x v="2"/>
    <x v="1"/>
    <s v="Joao Silva"/>
    <x v="2"/>
    <x v="5"/>
    <x v="4"/>
  </r>
  <r>
    <n v="10512"/>
    <x v="12"/>
    <x v="0"/>
    <n v="3.49"/>
    <n v="687.68"/>
    <x v="2"/>
    <x v="1"/>
    <s v="Joao Silva"/>
    <x v="2"/>
    <x v="5"/>
    <x v="13"/>
  </r>
  <r>
    <n v="10513"/>
    <x v="12"/>
    <x v="1"/>
    <n v="2.95"/>
    <n v="677.97"/>
    <x v="2"/>
    <x v="2"/>
    <s v="Joao Silva"/>
    <x v="2"/>
    <x v="5"/>
    <x v="6"/>
  </r>
  <r>
    <n v="10514"/>
    <x v="12"/>
    <x v="2"/>
    <n v="4.99"/>
    <n v="200.4"/>
    <x v="2"/>
    <x v="2"/>
    <s v="Joao Silva"/>
    <x v="2"/>
    <x v="5"/>
    <x v="2"/>
  </r>
  <r>
    <n v="10515"/>
    <x v="13"/>
    <x v="3"/>
    <n v="12.99"/>
    <n v="477.29"/>
    <x v="2"/>
    <x v="2"/>
    <s v="Joao Silva"/>
    <x v="2"/>
    <x v="6"/>
    <x v="14"/>
  </r>
  <r>
    <n v="10516"/>
    <x v="13"/>
    <x v="4"/>
    <n v="9.9499999999999993"/>
    <n v="201.01"/>
    <x v="2"/>
    <x v="2"/>
    <s v="Joao Silva"/>
    <x v="2"/>
    <x v="6"/>
    <x v="4"/>
  </r>
  <r>
    <n v="10483"/>
    <x v="6"/>
    <x v="1"/>
    <n v="2.95"/>
    <n v="677.97"/>
    <x v="1"/>
    <x v="1"/>
    <s v="Joao    Silva"/>
    <x v="2"/>
    <x v="6"/>
    <x v="6"/>
  </r>
  <r>
    <n v="10484"/>
    <x v="6"/>
    <x v="2"/>
    <n v="4.99"/>
    <n v="200.4"/>
    <x v="1"/>
    <x v="1"/>
    <s v="Joao    Silva"/>
    <x v="2"/>
    <x v="6"/>
    <x v="2"/>
  </r>
  <r>
    <n v="10485"/>
    <x v="7"/>
    <x v="3"/>
    <n v="12.99"/>
    <n v="523.48"/>
    <x v="1"/>
    <x v="1"/>
    <s v="Joao    Silva"/>
    <x v="2"/>
    <x v="0"/>
    <x v="8"/>
  </r>
  <r>
    <n v="10520"/>
    <x v="14"/>
    <x v="3"/>
    <n v="12.99"/>
    <n v="492.69"/>
    <x v="2"/>
    <x v="2"/>
    <s v="Remy Monet"/>
    <x v="4"/>
    <x v="0"/>
    <x v="15"/>
  </r>
  <r>
    <n v="10521"/>
    <x v="14"/>
    <x v="4"/>
    <n v="9.9499999999999993"/>
    <n v="201.01"/>
    <x v="2"/>
    <x v="2"/>
    <s v="Remy Monet"/>
    <x v="4"/>
    <x v="0"/>
    <x v="4"/>
  </r>
  <r>
    <n v="10522"/>
    <x v="14"/>
    <x v="0"/>
    <n v="3.49"/>
    <n v="687.68"/>
    <x v="2"/>
    <x v="2"/>
    <s v="Remy Monet"/>
    <x v="4"/>
    <x v="0"/>
    <x v="13"/>
  </r>
  <r>
    <n v="10523"/>
    <x v="14"/>
    <x v="1"/>
    <n v="2.95"/>
    <n v="745.76"/>
    <x v="2"/>
    <x v="2"/>
    <s v="Remy Monet"/>
    <x v="4"/>
    <x v="0"/>
    <x v="1"/>
  </r>
  <r>
    <n v="10524"/>
    <x v="14"/>
    <x v="2"/>
    <n v="4.99"/>
    <n v="200.4"/>
    <x v="2"/>
    <x v="2"/>
    <s v="Remy Monet"/>
    <x v="4"/>
    <x v="0"/>
    <x v="2"/>
  </r>
  <r>
    <n v="10525"/>
    <x v="15"/>
    <x v="3"/>
    <n v="12.99"/>
    <n v="461.89"/>
    <x v="2"/>
    <x v="2"/>
    <s v="Remy Monet"/>
    <x v="4"/>
    <x v="1"/>
    <x v="16"/>
  </r>
  <r>
    <n v="10526"/>
    <x v="15"/>
    <x v="4"/>
    <n v="9.9499999999999993"/>
    <n v="201.01"/>
    <x v="2"/>
    <x v="2"/>
    <s v="Remy Monet"/>
    <x v="4"/>
    <x v="1"/>
    <x v="4"/>
  </r>
  <r>
    <n v="10527"/>
    <x v="15"/>
    <x v="0"/>
    <n v="3.49"/>
    <n v="687.68"/>
    <x v="2"/>
    <x v="2"/>
    <s v="Remy Monet"/>
    <x v="4"/>
    <x v="1"/>
    <x v="13"/>
  </r>
  <r>
    <n v="10528"/>
    <x v="15"/>
    <x v="1"/>
    <n v="2.95"/>
    <n v="745.76"/>
    <x v="2"/>
    <x v="2"/>
    <s v="Remy Monet"/>
    <x v="4"/>
    <x v="1"/>
    <x v="1"/>
  </r>
  <r>
    <n v="10529"/>
    <x v="15"/>
    <x v="2"/>
    <n v="4.99"/>
    <n v="200.4"/>
    <x v="2"/>
    <x v="2"/>
    <s v="Remy Monet"/>
    <x v="4"/>
    <x v="1"/>
    <x v="2"/>
  </r>
  <r>
    <n v="10530"/>
    <x v="16"/>
    <x v="3"/>
    <n v="12.99"/>
    <n v="477.29"/>
    <x v="2"/>
    <x v="2"/>
    <s v="Remy Monet"/>
    <x v="4"/>
    <x v="2"/>
    <x v="14"/>
  </r>
  <r>
    <n v="10531"/>
    <x v="16"/>
    <x v="4"/>
    <n v="9.9499999999999993"/>
    <n v="201.01"/>
    <x v="2"/>
    <x v="2"/>
    <s v="Remy Monet"/>
    <x v="4"/>
    <x v="2"/>
    <x v="4"/>
  </r>
  <r>
    <n v="10532"/>
    <x v="16"/>
    <x v="0"/>
    <n v="3.49"/>
    <n v="687.68"/>
    <x v="2"/>
    <x v="2"/>
    <s v="Joao Silva"/>
    <x v="2"/>
    <x v="2"/>
    <x v="13"/>
  </r>
  <r>
    <n v="10533"/>
    <x v="16"/>
    <x v="1"/>
    <n v="2.95"/>
    <n v="745.76"/>
    <x v="2"/>
    <x v="2"/>
    <s v="Joao Silva"/>
    <x v="2"/>
    <x v="2"/>
    <x v="1"/>
  </r>
  <r>
    <n v="10534"/>
    <x v="16"/>
    <x v="2"/>
    <n v="4.99"/>
    <n v="200.4"/>
    <x v="2"/>
    <x v="2"/>
    <s v="Pablo Perez"/>
    <x v="1"/>
    <x v="2"/>
    <x v="2"/>
  </r>
  <r>
    <n v="10535"/>
    <x v="17"/>
    <x v="3"/>
    <n v="12.99"/>
    <n v="477.29"/>
    <x v="2"/>
    <x v="1"/>
    <s v="Pablo Perez"/>
    <x v="1"/>
    <x v="3"/>
    <x v="14"/>
  </r>
  <r>
    <n v="10536"/>
    <x v="17"/>
    <x v="4"/>
    <n v="9.9499999999999993"/>
    <n v="201.01"/>
    <x v="2"/>
    <x v="1"/>
    <s v="Pablo Perez"/>
    <x v="1"/>
    <x v="3"/>
    <x v="4"/>
  </r>
  <r>
    <n v="10540"/>
    <x v="18"/>
    <x v="3"/>
    <n v="12.99"/>
    <n v="461.89"/>
    <x v="2"/>
    <x v="1"/>
    <s v="Pablo Perez"/>
    <x v="1"/>
    <x v="4"/>
    <x v="16"/>
  </r>
  <r>
    <n v="10541"/>
    <x v="18"/>
    <x v="4"/>
    <n v="9.9499999999999993"/>
    <n v="201.01"/>
    <x v="2"/>
    <x v="1"/>
    <s v="Tom Jackson"/>
    <x v="0"/>
    <x v="4"/>
    <x v="4"/>
  </r>
  <r>
    <n v="10542"/>
    <x v="18"/>
    <x v="0"/>
    <n v="3.49"/>
    <n v="630.37"/>
    <x v="2"/>
    <x v="1"/>
    <s v="Tom Jackson"/>
    <x v="0"/>
    <x v="4"/>
    <x v="7"/>
  </r>
  <r>
    <n v="10543"/>
    <x v="18"/>
    <x v="1"/>
    <n v="2.95"/>
    <n v="745.76"/>
    <x v="2"/>
    <x v="1"/>
    <s v="Tom Jackson"/>
    <x v="0"/>
    <x v="4"/>
    <x v="1"/>
  </r>
  <r>
    <n v="10544"/>
    <x v="18"/>
    <x v="2"/>
    <n v="4.99"/>
    <n v="200.4"/>
    <x v="2"/>
    <x v="1"/>
    <s v="Tom Jackson"/>
    <x v="0"/>
    <x v="4"/>
    <x v="2"/>
  </r>
  <r>
    <n v="10545"/>
    <x v="19"/>
    <x v="3"/>
    <n v="12.99"/>
    <n v="446.5"/>
    <x v="2"/>
    <x v="1"/>
    <s v="Tom Jackson"/>
    <x v="0"/>
    <x v="5"/>
    <x v="17"/>
  </r>
  <r>
    <n v="10546"/>
    <x v="19"/>
    <x v="4"/>
    <n v="9.9499999999999993"/>
    <n v="201.01"/>
    <x v="2"/>
    <x v="1"/>
    <s v="Tom Jackson"/>
    <x v="0"/>
    <x v="5"/>
    <x v="4"/>
  </r>
  <r>
    <n v="10547"/>
    <x v="19"/>
    <x v="0"/>
    <n v="3.49"/>
    <n v="630.37"/>
    <x v="2"/>
    <x v="1"/>
    <s v="Tom Jackson"/>
    <x v="0"/>
    <x v="5"/>
    <x v="7"/>
  </r>
  <r>
    <n v="10548"/>
    <x v="19"/>
    <x v="1"/>
    <n v="2.95"/>
    <n v="745.76"/>
    <x v="2"/>
    <x v="1"/>
    <s v="Tom Jackson"/>
    <x v="0"/>
    <x v="5"/>
    <x v="1"/>
  </r>
  <r>
    <n v="10549"/>
    <x v="19"/>
    <x v="2"/>
    <n v="4.99"/>
    <n v="200.4"/>
    <x v="2"/>
    <x v="1"/>
    <s v="Tom Jackson"/>
    <x v="0"/>
    <x v="5"/>
    <x v="2"/>
  </r>
  <r>
    <n v="10550"/>
    <x v="20"/>
    <x v="3"/>
    <n v="12.99"/>
    <n v="461.89"/>
    <x v="2"/>
    <x v="1"/>
    <s v="Tom Jackson"/>
    <x v="0"/>
    <x v="6"/>
    <x v="16"/>
  </r>
  <r>
    <n v="10551"/>
    <x v="20"/>
    <x v="4"/>
    <n v="9.9499999999999993"/>
    <n v="201.01"/>
    <x v="2"/>
    <x v="1"/>
    <s v="Tom Jackson"/>
    <x v="0"/>
    <x v="6"/>
    <x v="4"/>
  </r>
  <r>
    <n v="10552"/>
    <x v="20"/>
    <x v="0"/>
    <n v="3.49"/>
    <n v="630.37"/>
    <x v="0"/>
    <x v="1"/>
    <s v="Tom Jackson"/>
    <x v="0"/>
    <x v="6"/>
    <x v="7"/>
  </r>
  <r>
    <n v="10553"/>
    <x v="20"/>
    <x v="1"/>
    <n v="2.95"/>
    <n v="745.76"/>
    <x v="0"/>
    <x v="1"/>
    <s v="Tom Jackson"/>
    <x v="0"/>
    <x v="6"/>
    <x v="1"/>
  </r>
  <r>
    <n v="10554"/>
    <x v="20"/>
    <x v="2"/>
    <n v="4.99"/>
    <n v="200.4"/>
    <x v="0"/>
    <x v="1"/>
    <s v="Tom Jackson"/>
    <x v="0"/>
    <x v="6"/>
    <x v="2"/>
  </r>
  <r>
    <n v="10555"/>
    <x v="21"/>
    <x v="3"/>
    <n v="12.99"/>
    <n v="477.29"/>
    <x v="0"/>
    <x v="1"/>
    <s v="Tom Jackson"/>
    <x v="0"/>
    <x v="0"/>
    <x v="14"/>
  </r>
  <r>
    <n v="10556"/>
    <x v="21"/>
    <x v="4"/>
    <n v="9.9499999999999993"/>
    <n v="201.01"/>
    <x v="0"/>
    <x v="1"/>
    <s v="Tom Jackson"/>
    <x v="0"/>
    <x v="0"/>
    <x v="4"/>
  </r>
  <r>
    <n v="10557"/>
    <x v="21"/>
    <x v="0"/>
    <n v="3.49"/>
    <n v="630.37"/>
    <x v="0"/>
    <x v="1"/>
    <s v="Tom Jackson"/>
    <x v="0"/>
    <x v="0"/>
    <x v="7"/>
  </r>
  <r>
    <n v="10558"/>
    <x v="21"/>
    <x v="1"/>
    <n v="2.95"/>
    <n v="677.97"/>
    <x v="0"/>
    <x v="1"/>
    <s v="Tom Jackson"/>
    <x v="0"/>
    <x v="0"/>
    <x v="6"/>
  </r>
  <r>
    <n v="10559"/>
    <x v="21"/>
    <x v="2"/>
    <n v="4.99"/>
    <n v="200.4"/>
    <x v="0"/>
    <x v="1"/>
    <s v="Tom Jackson"/>
    <x v="0"/>
    <x v="0"/>
    <x v="2"/>
  </r>
  <r>
    <n v="10560"/>
    <x v="22"/>
    <x v="3"/>
    <n v="12.99"/>
    <n v="477.29"/>
    <x v="0"/>
    <x v="1"/>
    <s v="Tom Jackson"/>
    <x v="0"/>
    <x v="1"/>
    <x v="14"/>
  </r>
  <r>
    <n v="10561"/>
    <x v="22"/>
    <x v="4"/>
    <n v="9.9499999999999993"/>
    <n v="201.01"/>
    <x v="0"/>
    <x v="1"/>
    <s v="Tom Jackson"/>
    <x v="0"/>
    <x v="1"/>
    <x v="4"/>
  </r>
  <r>
    <n v="10562"/>
    <x v="22"/>
    <x v="0"/>
    <n v="3.49"/>
    <n v="630.37"/>
    <x v="0"/>
    <x v="1"/>
    <s v="Tom Jackson"/>
    <x v="0"/>
    <x v="1"/>
    <x v="7"/>
  </r>
  <r>
    <n v="10563"/>
    <x v="22"/>
    <x v="1"/>
    <n v="2.95"/>
    <n v="677.97"/>
    <x v="0"/>
    <x v="1"/>
    <s v="Tom Jackson"/>
    <x v="0"/>
    <x v="1"/>
    <x v="6"/>
  </r>
  <r>
    <n v="10564"/>
    <x v="22"/>
    <x v="2"/>
    <n v="4.99"/>
    <n v="200.4"/>
    <x v="0"/>
    <x v="1"/>
    <s v="Tom Jackson"/>
    <x v="0"/>
    <x v="1"/>
    <x v="2"/>
  </r>
  <r>
    <n v="10565"/>
    <x v="23"/>
    <x v="3"/>
    <n v="12.99"/>
    <n v="492.69"/>
    <x v="0"/>
    <x v="1"/>
    <s v="Tom Jackson"/>
    <x v="0"/>
    <x v="2"/>
    <x v="15"/>
  </r>
  <r>
    <n v="10566"/>
    <x v="23"/>
    <x v="4"/>
    <n v="9.9499999999999993"/>
    <n v="201.01"/>
    <x v="0"/>
    <x v="1"/>
    <s v="Tom Jackson"/>
    <x v="0"/>
    <x v="2"/>
    <x v="4"/>
  </r>
  <r>
    <n v="10567"/>
    <x v="23"/>
    <x v="0"/>
    <n v="3.49"/>
    <n v="630.37"/>
    <x v="0"/>
    <x v="1"/>
    <s v="Tom Jackson"/>
    <x v="0"/>
    <x v="2"/>
    <x v="7"/>
  </r>
  <r>
    <n v="10568"/>
    <x v="23"/>
    <x v="1"/>
    <n v="2.95"/>
    <n v="677.97"/>
    <x v="0"/>
    <x v="1"/>
    <s v="Tom Jackson"/>
    <x v="0"/>
    <x v="2"/>
    <x v="6"/>
  </r>
  <r>
    <n v="10569"/>
    <x v="23"/>
    <x v="2"/>
    <n v="4.99"/>
    <n v="200.4"/>
    <x v="0"/>
    <x v="1"/>
    <s v="Tom Jackson"/>
    <x v="0"/>
    <x v="2"/>
    <x v="2"/>
  </r>
  <r>
    <n v="10570"/>
    <x v="24"/>
    <x v="3"/>
    <n v="12.99"/>
    <n v="492.69"/>
    <x v="0"/>
    <x v="1"/>
    <s v="Tom Jackson"/>
    <x v="0"/>
    <x v="3"/>
    <x v="15"/>
  </r>
  <r>
    <n v="10571"/>
    <x v="24"/>
    <x v="4"/>
    <n v="9.9499999999999993"/>
    <n v="201.01"/>
    <x v="0"/>
    <x v="1"/>
    <s v="Tom Jackson"/>
    <x v="0"/>
    <x v="3"/>
    <x v="4"/>
  </r>
  <r>
    <n v="10572"/>
    <x v="24"/>
    <x v="0"/>
    <n v="3.49"/>
    <n v="573.07000000000005"/>
    <x v="0"/>
    <x v="1"/>
    <s v="Remy Monet"/>
    <x v="4"/>
    <x v="3"/>
    <x v="0"/>
  </r>
  <r>
    <n v="10573"/>
    <x v="24"/>
    <x v="1"/>
    <n v="2.95"/>
    <n v="677.97"/>
    <x v="0"/>
    <x v="1"/>
    <s v="Remy Monet"/>
    <x v="4"/>
    <x v="3"/>
    <x v="6"/>
  </r>
  <r>
    <n v="10574"/>
    <x v="24"/>
    <x v="2"/>
    <n v="4.99"/>
    <n v="200.4"/>
    <x v="0"/>
    <x v="1"/>
    <s v="Remy Monet"/>
    <x v="4"/>
    <x v="3"/>
    <x v="2"/>
  </r>
  <r>
    <n v="10575"/>
    <x v="25"/>
    <x v="3"/>
    <n v="12.99"/>
    <n v="523.48"/>
    <x v="0"/>
    <x v="1"/>
    <s v="Remy Monet"/>
    <x v="4"/>
    <x v="4"/>
    <x v="8"/>
  </r>
  <r>
    <n v="10576"/>
    <x v="25"/>
    <x v="4"/>
    <n v="9.9499999999999993"/>
    <n v="201.01"/>
    <x v="0"/>
    <x v="1"/>
    <s v="Remy Monet"/>
    <x v="4"/>
    <x v="4"/>
    <x v="4"/>
  </r>
  <r>
    <n v="10577"/>
    <x v="25"/>
    <x v="0"/>
    <n v="3.49"/>
    <n v="630.37"/>
    <x v="0"/>
    <x v="1"/>
    <s v="Remy Monet"/>
    <x v="4"/>
    <x v="4"/>
    <x v="7"/>
  </r>
  <r>
    <n v="10578"/>
    <x v="25"/>
    <x v="1"/>
    <n v="2.95"/>
    <n v="677.97"/>
    <x v="0"/>
    <x v="1"/>
    <s v="Remy Monet"/>
    <x v="4"/>
    <x v="4"/>
    <x v="6"/>
  </r>
  <r>
    <n v="10579"/>
    <x v="25"/>
    <x v="2"/>
    <n v="4.99"/>
    <n v="200.4"/>
    <x v="0"/>
    <x v="1"/>
    <s v="Remy Monet"/>
    <x v="4"/>
    <x v="4"/>
    <x v="2"/>
  </r>
  <r>
    <n v="10580"/>
    <x v="26"/>
    <x v="3"/>
    <n v="12.99"/>
    <n v="523.48"/>
    <x v="0"/>
    <x v="1"/>
    <s v="Remy Monet"/>
    <x v="4"/>
    <x v="5"/>
    <x v="8"/>
  </r>
  <r>
    <n v="10581"/>
    <x v="26"/>
    <x v="4"/>
    <n v="9.9499999999999993"/>
    <n v="201.01"/>
    <x v="0"/>
    <x v="1"/>
    <s v="Remy Monet"/>
    <x v="4"/>
    <x v="5"/>
    <x v="4"/>
  </r>
  <r>
    <n v="10582"/>
    <x v="26"/>
    <x v="0"/>
    <n v="3.49"/>
    <n v="630.37"/>
    <x v="0"/>
    <x v="1"/>
    <s v="Tom Jackson"/>
    <x v="0"/>
    <x v="5"/>
    <x v="7"/>
  </r>
  <r>
    <n v="10583"/>
    <x v="26"/>
    <x v="1"/>
    <n v="2.95"/>
    <n v="677.97"/>
    <x v="0"/>
    <x v="1"/>
    <s v="Tom Jackson"/>
    <x v="0"/>
    <x v="5"/>
    <x v="6"/>
  </r>
  <r>
    <n v="10584"/>
    <x v="26"/>
    <x v="2"/>
    <n v="4.99"/>
    <n v="200.4"/>
    <x v="0"/>
    <x v="1"/>
    <s v="Tom Jackson"/>
    <x v="0"/>
    <x v="5"/>
    <x v="2"/>
  </r>
  <r>
    <n v="10585"/>
    <x v="27"/>
    <x v="3"/>
    <n v="12.99"/>
    <n v="538.88"/>
    <x v="0"/>
    <x v="1"/>
    <s v="Tom Jackson"/>
    <x v="0"/>
    <x v="6"/>
    <x v="12"/>
  </r>
  <r>
    <n v="10586"/>
    <x v="27"/>
    <x v="4"/>
    <n v="9.9499999999999993"/>
    <n v="201.01"/>
    <x v="0"/>
    <x v="1"/>
    <s v="Tom Jackson"/>
    <x v="0"/>
    <x v="6"/>
    <x v="4"/>
  </r>
  <r>
    <n v="10537"/>
    <x v="17"/>
    <x v="0"/>
    <n v="3.49"/>
    <n v="630.37"/>
    <x v="2"/>
    <x v="1"/>
    <s v="Pablo Perez"/>
    <x v="1"/>
    <x v="3"/>
    <x v="7"/>
  </r>
  <r>
    <n v="10538"/>
    <x v="17"/>
    <x v="1"/>
    <n v="2.95"/>
    <n v="745.76"/>
    <x v="2"/>
    <x v="1"/>
    <s v="Pablo Perez"/>
    <x v="1"/>
    <x v="3"/>
    <x v="1"/>
  </r>
  <r>
    <n v="10539"/>
    <x v="17"/>
    <x v="2"/>
    <n v="4.99"/>
    <n v="200.4"/>
    <x v="2"/>
    <x v="1"/>
    <s v="Pablo Perez"/>
    <x v="1"/>
    <x v="3"/>
    <x v="2"/>
  </r>
  <r>
    <n v="10590"/>
    <x v="28"/>
    <x v="3"/>
    <n v="12.99"/>
    <n v="554.27"/>
    <x v="0"/>
    <x v="1"/>
    <s v="Tom Jackson"/>
    <x v="0"/>
    <x v="0"/>
    <x v="5"/>
  </r>
  <r>
    <n v="10591"/>
    <x v="28"/>
    <x v="4"/>
    <n v="9.9499999999999993"/>
    <n v="201.01"/>
    <x v="0"/>
    <x v="1"/>
    <s v="Tom Jackson"/>
    <x v="0"/>
    <x v="0"/>
    <x v="4"/>
  </r>
  <r>
    <n v="10592"/>
    <x v="28"/>
    <x v="0"/>
    <n v="3.49"/>
    <n v="573.07000000000005"/>
    <x v="0"/>
    <x v="1"/>
    <s v="Tom Jackson"/>
    <x v="0"/>
    <x v="0"/>
    <x v="0"/>
  </r>
  <r>
    <n v="10593"/>
    <x v="28"/>
    <x v="1"/>
    <n v="2.95"/>
    <n v="677.97"/>
    <x v="0"/>
    <x v="1"/>
    <s v="Tom Jackson"/>
    <x v="0"/>
    <x v="0"/>
    <x v="6"/>
  </r>
  <r>
    <n v="10594"/>
    <x v="28"/>
    <x v="2"/>
    <n v="4.99"/>
    <n v="200.4"/>
    <x v="0"/>
    <x v="1"/>
    <s v="Tom Jackson"/>
    <x v="0"/>
    <x v="0"/>
    <x v="2"/>
  </r>
  <r>
    <n v="10595"/>
    <x v="29"/>
    <x v="3"/>
    <n v="12.99"/>
    <n v="538.88"/>
    <x v="0"/>
    <x v="1"/>
    <s v="Tom Jackson"/>
    <x v="0"/>
    <x v="1"/>
    <x v="12"/>
  </r>
  <r>
    <n v="10596"/>
    <x v="29"/>
    <x v="4"/>
    <n v="9.9499999999999993"/>
    <n v="201.01"/>
    <x v="0"/>
    <x v="1"/>
    <s v="Tom Jackson"/>
    <x v="0"/>
    <x v="1"/>
    <x v="4"/>
  </r>
  <r>
    <n v="10597"/>
    <x v="29"/>
    <x v="0"/>
    <n v="3.49"/>
    <n v="573.07000000000005"/>
    <x v="0"/>
    <x v="1"/>
    <s v="Tom Jackson"/>
    <x v="0"/>
    <x v="1"/>
    <x v="0"/>
  </r>
  <r>
    <n v="10598"/>
    <x v="29"/>
    <x v="1"/>
    <n v="2.95"/>
    <n v="677.97"/>
    <x v="0"/>
    <x v="1"/>
    <s v="Tom Jackson"/>
    <x v="0"/>
    <x v="1"/>
    <x v="6"/>
  </r>
  <r>
    <n v="10599"/>
    <x v="29"/>
    <x v="2"/>
    <n v="4.99"/>
    <n v="200.4"/>
    <x v="0"/>
    <x v="1"/>
    <s v="Tom Jackson"/>
    <x v="0"/>
    <x v="1"/>
    <x v="2"/>
  </r>
  <r>
    <n v="10600"/>
    <x v="30"/>
    <x v="3"/>
    <n v="12.99"/>
    <n v="523.48"/>
    <x v="0"/>
    <x v="1"/>
    <s v="Tom Jackson"/>
    <x v="0"/>
    <x v="2"/>
    <x v="8"/>
  </r>
  <r>
    <n v="10601"/>
    <x v="30"/>
    <x v="4"/>
    <n v="9.9499999999999993"/>
    <n v="201.01"/>
    <x v="0"/>
    <x v="1"/>
    <s v="Tom Jackson"/>
    <x v="0"/>
    <x v="2"/>
    <x v="4"/>
  </r>
  <r>
    <n v="10602"/>
    <x v="30"/>
    <x v="0"/>
    <n v="3.49"/>
    <n v="630.37"/>
    <x v="0"/>
    <x v="2"/>
    <s v="Tom Jackson"/>
    <x v="0"/>
    <x v="2"/>
    <x v="7"/>
  </r>
  <r>
    <n v="10603"/>
    <x v="30"/>
    <x v="1"/>
    <n v="2.95"/>
    <n v="677.97"/>
    <x v="0"/>
    <x v="2"/>
    <s v="Tom Jackson"/>
    <x v="0"/>
    <x v="2"/>
    <x v="6"/>
  </r>
  <r>
    <n v="10604"/>
    <x v="30"/>
    <x v="2"/>
    <n v="4.99"/>
    <n v="200.4"/>
    <x v="0"/>
    <x v="2"/>
    <s v="Tom Jackson"/>
    <x v="0"/>
    <x v="2"/>
    <x v="2"/>
  </r>
  <r>
    <n v="10605"/>
    <x v="31"/>
    <x v="3"/>
    <n v="12.99"/>
    <n v="538.88"/>
    <x v="0"/>
    <x v="2"/>
    <s v="Tom Jackson"/>
    <x v="0"/>
    <x v="3"/>
    <x v="12"/>
  </r>
  <r>
    <n v="10606"/>
    <x v="31"/>
    <x v="4"/>
    <n v="9.9499999999999993"/>
    <n v="201.01"/>
    <x v="0"/>
    <x v="2"/>
    <s v="Tom Jackson"/>
    <x v="0"/>
    <x v="3"/>
    <x v="4"/>
  </r>
  <r>
    <n v="10607"/>
    <x v="31"/>
    <x v="0"/>
    <n v="3.49"/>
    <n v="630.37"/>
    <x v="0"/>
    <x v="2"/>
    <s v="Tom Jackson"/>
    <x v="0"/>
    <x v="3"/>
    <x v="7"/>
  </r>
  <r>
    <n v="10608"/>
    <x v="31"/>
    <x v="1"/>
    <n v="2.95"/>
    <n v="677.97"/>
    <x v="0"/>
    <x v="0"/>
    <s v="Tom Jackson"/>
    <x v="0"/>
    <x v="3"/>
    <x v="6"/>
  </r>
  <r>
    <n v="10609"/>
    <x v="31"/>
    <x v="2"/>
    <n v="4.99"/>
    <n v="200.4"/>
    <x v="0"/>
    <x v="0"/>
    <s v="Tom Jackson"/>
    <x v="0"/>
    <x v="3"/>
    <x v="2"/>
  </r>
  <r>
    <n v="10610"/>
    <x v="32"/>
    <x v="3"/>
    <n v="12.99"/>
    <n v="569.66999999999996"/>
    <x v="0"/>
    <x v="0"/>
    <s v="Tom Jackson"/>
    <x v="0"/>
    <x v="4"/>
    <x v="3"/>
  </r>
  <r>
    <n v="10611"/>
    <x v="32"/>
    <x v="4"/>
    <n v="9.9499999999999993"/>
    <n v="201.01"/>
    <x v="0"/>
    <x v="0"/>
    <s v="Tom Jackson"/>
    <x v="0"/>
    <x v="4"/>
    <x v="4"/>
  </r>
  <r>
    <n v="10612"/>
    <x v="32"/>
    <x v="0"/>
    <n v="3.49"/>
    <n v="630.37"/>
    <x v="0"/>
    <x v="0"/>
    <s v="Tom Jackson"/>
    <x v="0"/>
    <x v="4"/>
    <x v="7"/>
  </r>
  <r>
    <n v="10613"/>
    <x v="32"/>
    <x v="1"/>
    <n v="2.95"/>
    <n v="677.97"/>
    <x v="0"/>
    <x v="0"/>
    <s v="Tom Jackson"/>
    <x v="0"/>
    <x v="4"/>
    <x v="6"/>
  </r>
  <r>
    <n v="10614"/>
    <x v="32"/>
    <x v="2"/>
    <n v="4.99"/>
    <n v="200.4"/>
    <x v="0"/>
    <x v="0"/>
    <s v="Tom Jackson"/>
    <x v="0"/>
    <x v="4"/>
    <x v="2"/>
  </r>
  <r>
    <n v="10615"/>
    <x v="33"/>
    <x v="3"/>
    <n v="12.99"/>
    <n v="569.66999999999996"/>
    <x v="0"/>
    <x v="0"/>
    <s v="Tom Jackson"/>
    <x v="0"/>
    <x v="5"/>
    <x v="3"/>
  </r>
  <r>
    <n v="10616"/>
    <x v="33"/>
    <x v="4"/>
    <n v="9.9499999999999993"/>
    <n v="201.01"/>
    <x v="0"/>
    <x v="0"/>
    <s v="Tom Jackson"/>
    <x v="0"/>
    <x v="5"/>
    <x v="4"/>
  </r>
  <r>
    <n v="10617"/>
    <x v="33"/>
    <x v="0"/>
    <n v="3.49"/>
    <n v="630.37"/>
    <x v="0"/>
    <x v="0"/>
    <s v="Tom Jackson"/>
    <x v="0"/>
    <x v="5"/>
    <x v="7"/>
  </r>
  <r>
    <n v="10618"/>
    <x v="33"/>
    <x v="1"/>
    <n v="2.95"/>
    <n v="677.97"/>
    <x v="0"/>
    <x v="0"/>
    <s v="Tom Jackson"/>
    <x v="0"/>
    <x v="5"/>
    <x v="6"/>
  </r>
  <r>
    <n v="10619"/>
    <x v="33"/>
    <x v="2"/>
    <n v="4.99"/>
    <n v="200.4"/>
    <x v="0"/>
    <x v="0"/>
    <s v="Tom Jackson"/>
    <x v="0"/>
    <x v="5"/>
    <x v="2"/>
  </r>
  <r>
    <n v="10620"/>
    <x v="34"/>
    <x v="3"/>
    <n v="12.99"/>
    <n v="585.07000000000005"/>
    <x v="0"/>
    <x v="0"/>
    <s v="Tom Jackson"/>
    <x v="0"/>
    <x v="6"/>
    <x v="18"/>
  </r>
  <r>
    <n v="10621"/>
    <x v="34"/>
    <x v="4"/>
    <n v="9.9499999999999993"/>
    <n v="201.01"/>
    <x v="0"/>
    <x v="0"/>
    <s v="Tom Jackson"/>
    <x v="0"/>
    <x v="6"/>
    <x v="4"/>
  </r>
  <r>
    <n v="10622"/>
    <x v="34"/>
    <x v="0"/>
    <n v="3.49"/>
    <n v="630.37"/>
    <x v="0"/>
    <x v="0"/>
    <s v="Tom Jackson"/>
    <x v="0"/>
    <x v="6"/>
    <x v="7"/>
  </r>
  <r>
    <n v="10623"/>
    <x v="34"/>
    <x v="1"/>
    <n v="2.95"/>
    <n v="745.76"/>
    <x v="0"/>
    <x v="0"/>
    <s v="Tom Jackson"/>
    <x v="0"/>
    <x v="6"/>
    <x v="1"/>
  </r>
  <r>
    <n v="10624"/>
    <x v="34"/>
    <x v="2"/>
    <n v="4.99"/>
    <n v="200.4"/>
    <x v="0"/>
    <x v="0"/>
    <s v="Tom Jackson"/>
    <x v="0"/>
    <x v="6"/>
    <x v="2"/>
  </r>
  <r>
    <n v="10625"/>
    <x v="35"/>
    <x v="3"/>
    <n v="12.99"/>
    <n v="569.66999999999996"/>
    <x v="0"/>
    <x v="0"/>
    <s v="Tom Jackson"/>
    <x v="0"/>
    <x v="0"/>
    <x v="3"/>
  </r>
  <r>
    <n v="10626"/>
    <x v="35"/>
    <x v="4"/>
    <n v="9.9499999999999993"/>
    <n v="201.01"/>
    <x v="0"/>
    <x v="0"/>
    <s v="Tom Jackson"/>
    <x v="0"/>
    <x v="0"/>
    <x v="4"/>
  </r>
  <r>
    <n v="10627"/>
    <x v="35"/>
    <x v="0"/>
    <n v="3.49"/>
    <n v="630.37"/>
    <x v="0"/>
    <x v="0"/>
    <s v="Tom Jackson"/>
    <x v="0"/>
    <x v="0"/>
    <x v="7"/>
  </r>
  <r>
    <n v="10628"/>
    <x v="35"/>
    <x v="1"/>
    <n v="2.95"/>
    <n v="677.97"/>
    <x v="0"/>
    <x v="0"/>
    <s v="Joao Silva"/>
    <x v="2"/>
    <x v="0"/>
    <x v="6"/>
  </r>
  <r>
    <n v="10629"/>
    <x v="35"/>
    <x v="2"/>
    <n v="4.99"/>
    <n v="200.4"/>
    <x v="0"/>
    <x v="0"/>
    <s v="Joao Silva"/>
    <x v="2"/>
    <x v="0"/>
    <x v="2"/>
  </r>
  <r>
    <n v="10630"/>
    <x v="36"/>
    <x v="3"/>
    <n v="12.99"/>
    <n v="569.66999999999996"/>
    <x v="0"/>
    <x v="2"/>
    <s v="Joao Silva"/>
    <x v="2"/>
    <x v="1"/>
    <x v="3"/>
  </r>
  <r>
    <n v="10631"/>
    <x v="36"/>
    <x v="4"/>
    <n v="9.9499999999999993"/>
    <n v="201.01"/>
    <x v="0"/>
    <x v="0"/>
    <s v="Joao Silva"/>
    <x v="2"/>
    <x v="1"/>
    <x v="4"/>
  </r>
  <r>
    <n v="10632"/>
    <x v="36"/>
    <x v="0"/>
    <n v="3.49"/>
    <n v="630.37"/>
    <x v="0"/>
    <x v="0"/>
    <s v="Joao Silva"/>
    <x v="2"/>
    <x v="1"/>
    <x v="7"/>
  </r>
  <r>
    <n v="10633"/>
    <x v="36"/>
    <x v="1"/>
    <n v="2.95"/>
    <n v="677.97"/>
    <x v="0"/>
    <x v="0"/>
    <s v="Joao Silva"/>
    <x v="2"/>
    <x v="1"/>
    <x v="6"/>
  </r>
  <r>
    <n v="10634"/>
    <x v="36"/>
    <x v="2"/>
    <n v="4.99"/>
    <n v="200.4"/>
    <x v="0"/>
    <x v="0"/>
    <s v="Joao Silva"/>
    <x v="2"/>
    <x v="1"/>
    <x v="2"/>
  </r>
  <r>
    <n v="10635"/>
    <x v="37"/>
    <x v="3"/>
    <n v="12.99"/>
    <n v="554.27"/>
    <x v="0"/>
    <x v="0"/>
    <s v="Joao Silva"/>
    <x v="2"/>
    <x v="2"/>
    <x v="5"/>
  </r>
  <r>
    <n v="10636"/>
    <x v="37"/>
    <x v="4"/>
    <n v="9.9499999999999993"/>
    <n v="221.11"/>
    <x v="0"/>
    <x v="0"/>
    <s v="Joao Silva"/>
    <x v="2"/>
    <x v="2"/>
    <x v="19"/>
  </r>
  <r>
    <n v="10637"/>
    <x v="37"/>
    <x v="0"/>
    <n v="3.49"/>
    <n v="630.37"/>
    <x v="0"/>
    <x v="0"/>
    <s v="Joao Silva"/>
    <x v="2"/>
    <x v="2"/>
    <x v="7"/>
  </r>
  <r>
    <n v="10638"/>
    <x v="37"/>
    <x v="1"/>
    <n v="2.95"/>
    <n v="677.97"/>
    <x v="0"/>
    <x v="0"/>
    <s v="Joao Silva"/>
    <x v="2"/>
    <x v="2"/>
    <x v="6"/>
  </r>
  <r>
    <n v="10639"/>
    <x v="37"/>
    <x v="2"/>
    <n v="4.99"/>
    <n v="200.4"/>
    <x v="0"/>
    <x v="0"/>
    <s v="Joao Silva"/>
    <x v="2"/>
    <x v="2"/>
    <x v="2"/>
  </r>
  <r>
    <n v="10640"/>
    <x v="38"/>
    <x v="3"/>
    <n v="12.99"/>
    <n v="538.88"/>
    <x v="0"/>
    <x v="0"/>
    <s v="Joao Silva"/>
    <x v="2"/>
    <x v="3"/>
    <x v="12"/>
  </r>
  <r>
    <n v="10641"/>
    <x v="38"/>
    <x v="4"/>
    <n v="9.9499999999999993"/>
    <n v="221.11"/>
    <x v="0"/>
    <x v="0"/>
    <s v="Joao Silva"/>
    <x v="2"/>
    <x v="3"/>
    <x v="19"/>
  </r>
  <r>
    <n v="10642"/>
    <x v="38"/>
    <x v="0"/>
    <n v="3.49"/>
    <n v="630.37"/>
    <x v="0"/>
    <x v="2"/>
    <s v="Joao Silva"/>
    <x v="2"/>
    <x v="3"/>
    <x v="7"/>
  </r>
  <r>
    <n v="10643"/>
    <x v="38"/>
    <x v="1"/>
    <n v="2.95"/>
    <n v="677.97"/>
    <x v="0"/>
    <x v="2"/>
    <s v="Joao Silva"/>
    <x v="2"/>
    <x v="3"/>
    <x v="6"/>
  </r>
  <r>
    <n v="10644"/>
    <x v="38"/>
    <x v="2"/>
    <n v="4.99"/>
    <n v="200.4"/>
    <x v="0"/>
    <x v="2"/>
    <s v="Joao Silva"/>
    <x v="2"/>
    <x v="3"/>
    <x v="2"/>
  </r>
  <r>
    <n v="10645"/>
    <x v="39"/>
    <x v="3"/>
    <n v="12.99"/>
    <n v="569.66999999999996"/>
    <x v="0"/>
    <x v="2"/>
    <s v="Joao Silva"/>
    <x v="2"/>
    <x v="4"/>
    <x v="3"/>
  </r>
  <r>
    <n v="10646"/>
    <x v="39"/>
    <x v="4"/>
    <n v="9.9499999999999993"/>
    <n v="221.11"/>
    <x v="0"/>
    <x v="2"/>
    <s v="Joao Silva"/>
    <x v="2"/>
    <x v="4"/>
    <x v="19"/>
  </r>
  <r>
    <n v="10647"/>
    <x v="39"/>
    <x v="0"/>
    <n v="3.49"/>
    <n v="630.37"/>
    <x v="0"/>
    <x v="0"/>
    <s v="Joao Silva"/>
    <x v="2"/>
    <x v="4"/>
    <x v="7"/>
  </r>
  <r>
    <n v="10648"/>
    <x v="39"/>
    <x v="1"/>
    <n v="2.95"/>
    <n v="745.76"/>
    <x v="0"/>
    <x v="0"/>
    <s v="Joao Silva"/>
    <x v="2"/>
    <x v="4"/>
    <x v="1"/>
  </r>
  <r>
    <n v="10649"/>
    <x v="39"/>
    <x v="2"/>
    <n v="4.99"/>
    <n v="200.4"/>
    <x v="0"/>
    <x v="0"/>
    <s v="Joao Silva"/>
    <x v="2"/>
    <x v="4"/>
    <x v="2"/>
  </r>
  <r>
    <n v="10650"/>
    <x v="40"/>
    <x v="3"/>
    <n v="12.99"/>
    <n v="585.07000000000005"/>
    <x v="0"/>
    <x v="0"/>
    <s v="Joao Silva"/>
    <x v="2"/>
    <x v="5"/>
    <x v="18"/>
  </r>
  <r>
    <n v="10651"/>
    <x v="40"/>
    <x v="4"/>
    <n v="9.9499999999999993"/>
    <n v="221.11"/>
    <x v="0"/>
    <x v="0"/>
    <s v="Joao Silva"/>
    <x v="2"/>
    <x v="5"/>
    <x v="19"/>
  </r>
  <r>
    <n v="10652"/>
    <x v="40"/>
    <x v="0"/>
    <n v="3.49"/>
    <n v="687.68"/>
    <x v="0"/>
    <x v="0"/>
    <s v="Joao Silva"/>
    <x v="2"/>
    <x v="5"/>
    <x v="13"/>
  </r>
  <r>
    <n v="10653"/>
    <x v="40"/>
    <x v="1"/>
    <n v="2.95"/>
    <n v="745.76"/>
    <x v="0"/>
    <x v="0"/>
    <s v="Joao Silva"/>
    <x v="2"/>
    <x v="5"/>
    <x v="1"/>
  </r>
  <r>
    <n v="10654"/>
    <x v="40"/>
    <x v="2"/>
    <n v="4.99"/>
    <n v="200.4"/>
    <x v="0"/>
    <x v="0"/>
    <s v="Joao Silva"/>
    <x v="2"/>
    <x v="5"/>
    <x v="2"/>
  </r>
  <r>
    <n v="10655"/>
    <x v="41"/>
    <x v="3"/>
    <n v="12.99"/>
    <n v="600.46"/>
    <x v="0"/>
    <x v="0"/>
    <s v="Joao Silva"/>
    <x v="2"/>
    <x v="6"/>
    <x v="20"/>
  </r>
  <r>
    <n v="10656"/>
    <x v="41"/>
    <x v="4"/>
    <n v="9.9499999999999993"/>
    <n v="221.11"/>
    <x v="0"/>
    <x v="0"/>
    <s v="Joao Silva"/>
    <x v="2"/>
    <x v="6"/>
    <x v="19"/>
  </r>
  <r>
    <n v="10657"/>
    <x v="41"/>
    <x v="0"/>
    <n v="3.49"/>
    <n v="687.68"/>
    <x v="0"/>
    <x v="0"/>
    <s v="Joao Silva"/>
    <x v="2"/>
    <x v="6"/>
    <x v="13"/>
  </r>
  <r>
    <n v="10658"/>
    <x v="41"/>
    <x v="1"/>
    <n v="2.95"/>
    <n v="745.76"/>
    <x v="0"/>
    <x v="2"/>
    <s v="Joao Silva"/>
    <x v="2"/>
    <x v="6"/>
    <x v="1"/>
  </r>
  <r>
    <n v="10659"/>
    <x v="41"/>
    <x v="2"/>
    <n v="4.99"/>
    <n v="200.4"/>
    <x v="0"/>
    <x v="2"/>
    <s v="Joao Silva"/>
    <x v="2"/>
    <x v="6"/>
    <x v="2"/>
  </r>
  <r>
    <n v="10660"/>
    <x v="42"/>
    <x v="3"/>
    <n v="12.99"/>
    <n v="631.25"/>
    <x v="1"/>
    <x v="2"/>
    <s v="Joao Silva"/>
    <x v="2"/>
    <x v="0"/>
    <x v="21"/>
  </r>
  <r>
    <n v="10661"/>
    <x v="42"/>
    <x v="4"/>
    <n v="9.9499999999999993"/>
    <n v="221.11"/>
    <x v="1"/>
    <x v="2"/>
    <s v="Joao Silva"/>
    <x v="2"/>
    <x v="0"/>
    <x v="19"/>
  </r>
  <r>
    <n v="10662"/>
    <x v="42"/>
    <x v="0"/>
    <n v="3.49"/>
    <n v="630.37"/>
    <x v="1"/>
    <x v="2"/>
    <s v="Joao Silva"/>
    <x v="2"/>
    <x v="0"/>
    <x v="7"/>
  </r>
  <r>
    <n v="10663"/>
    <x v="42"/>
    <x v="1"/>
    <n v="2.95"/>
    <n v="745.76"/>
    <x v="1"/>
    <x v="2"/>
    <s v="Joao Silva"/>
    <x v="2"/>
    <x v="0"/>
    <x v="1"/>
  </r>
  <r>
    <n v="10664"/>
    <x v="42"/>
    <x v="2"/>
    <n v="4.99"/>
    <n v="200.4"/>
    <x v="1"/>
    <x v="2"/>
    <s v="Joao Silva"/>
    <x v="2"/>
    <x v="0"/>
    <x v="2"/>
  </r>
  <r>
    <n v="10665"/>
    <x v="43"/>
    <x v="3"/>
    <n v="12.99"/>
    <n v="646.65"/>
    <x v="1"/>
    <x v="2"/>
    <s v="Joao Silva"/>
    <x v="2"/>
    <x v="1"/>
    <x v="22"/>
  </r>
  <r>
    <n v="10666"/>
    <x v="43"/>
    <x v="4"/>
    <n v="9.9499999999999993"/>
    <n v="221.11"/>
    <x v="1"/>
    <x v="2"/>
    <s v="Joao Silva"/>
    <x v="2"/>
    <x v="1"/>
    <x v="19"/>
  </r>
  <r>
    <n v="10667"/>
    <x v="43"/>
    <x v="0"/>
    <n v="3.49"/>
    <n v="630.37"/>
    <x v="1"/>
    <x v="2"/>
    <s v="Joao Silva"/>
    <x v="2"/>
    <x v="1"/>
    <x v="7"/>
  </r>
  <r>
    <n v="10668"/>
    <x v="43"/>
    <x v="1"/>
    <n v="2.95"/>
    <n v="745.76"/>
    <x v="1"/>
    <x v="2"/>
    <s v="Joao Silva"/>
    <x v="2"/>
    <x v="1"/>
    <x v="1"/>
  </r>
  <r>
    <n v="10669"/>
    <x v="43"/>
    <x v="2"/>
    <n v="4.99"/>
    <n v="200.4"/>
    <x v="1"/>
    <x v="2"/>
    <s v="Joao Silva"/>
    <x v="2"/>
    <x v="1"/>
    <x v="2"/>
  </r>
  <r>
    <n v="10670"/>
    <x v="44"/>
    <x v="3"/>
    <n v="12.99"/>
    <n v="677.44"/>
    <x v="1"/>
    <x v="2"/>
    <s v="Joao Silva"/>
    <x v="2"/>
    <x v="2"/>
    <x v="23"/>
  </r>
  <r>
    <n v="10671"/>
    <x v="44"/>
    <x v="4"/>
    <n v="9.9499999999999993"/>
    <n v="221.11"/>
    <x v="1"/>
    <x v="2"/>
    <s v="Joao Silva"/>
    <x v="2"/>
    <x v="2"/>
    <x v="19"/>
  </r>
  <r>
    <n v="10672"/>
    <x v="44"/>
    <x v="0"/>
    <n v="3.49"/>
    <n v="630.37"/>
    <x v="1"/>
    <x v="2"/>
    <s v="Joao Silva"/>
    <x v="2"/>
    <x v="2"/>
    <x v="7"/>
  </r>
  <r>
    <n v="10673"/>
    <x v="44"/>
    <x v="1"/>
    <n v="2.95"/>
    <n v="745.76"/>
    <x v="1"/>
    <x v="2"/>
    <s v="Joao Silva"/>
    <x v="2"/>
    <x v="2"/>
    <x v="1"/>
  </r>
  <r>
    <n v="10674"/>
    <x v="44"/>
    <x v="2"/>
    <n v="4.99"/>
    <n v="200.4"/>
    <x v="1"/>
    <x v="2"/>
    <s v="Joao Silva"/>
    <x v="2"/>
    <x v="2"/>
    <x v="2"/>
  </r>
  <r>
    <n v="10675"/>
    <x v="45"/>
    <x v="3"/>
    <n v="12.99"/>
    <n v="677.44"/>
    <x v="1"/>
    <x v="2"/>
    <s v="Joao Silva"/>
    <x v="2"/>
    <x v="3"/>
    <x v="23"/>
  </r>
  <r>
    <n v="10676"/>
    <x v="45"/>
    <x v="4"/>
    <n v="9.9499999999999993"/>
    <n v="241.21"/>
    <x v="1"/>
    <x v="2"/>
    <s v="Joao Silva"/>
    <x v="2"/>
    <x v="3"/>
    <x v="24"/>
  </r>
  <r>
    <n v="10677"/>
    <x v="45"/>
    <x v="0"/>
    <n v="3.49"/>
    <n v="630.37"/>
    <x v="1"/>
    <x v="2"/>
    <s v="Joao Silva"/>
    <x v="2"/>
    <x v="3"/>
    <x v="7"/>
  </r>
  <r>
    <n v="10678"/>
    <x v="45"/>
    <x v="1"/>
    <n v="2.95"/>
    <n v="745.76"/>
    <x v="1"/>
    <x v="2"/>
    <s v="Joao Silva"/>
    <x v="2"/>
    <x v="3"/>
    <x v="1"/>
  </r>
  <r>
    <n v="10679"/>
    <x v="45"/>
    <x v="2"/>
    <n v="4.99"/>
    <n v="200.4"/>
    <x v="1"/>
    <x v="2"/>
    <s v="Joao Silva"/>
    <x v="2"/>
    <x v="3"/>
    <x v="2"/>
  </r>
  <r>
    <n v="10680"/>
    <x v="46"/>
    <x v="3"/>
    <n v="12.99"/>
    <n v="646.65"/>
    <x v="1"/>
    <x v="2"/>
    <s v="Joao Silva"/>
    <x v="2"/>
    <x v="4"/>
    <x v="22"/>
  </r>
  <r>
    <n v="10681"/>
    <x v="46"/>
    <x v="4"/>
    <n v="9.9499999999999993"/>
    <n v="241.21"/>
    <x v="1"/>
    <x v="2"/>
    <s v="Joao Silva"/>
    <x v="2"/>
    <x v="4"/>
    <x v="24"/>
  </r>
  <r>
    <n v="10682"/>
    <x v="46"/>
    <x v="0"/>
    <n v="3.49"/>
    <n v="630.37"/>
    <x v="1"/>
    <x v="2"/>
    <s v="Joao Silva"/>
    <x v="2"/>
    <x v="4"/>
    <x v="7"/>
  </r>
  <r>
    <n v="10683"/>
    <x v="46"/>
    <x v="1"/>
    <n v="2.95"/>
    <n v="677.97"/>
    <x v="1"/>
    <x v="2"/>
    <s v="Joao Silva"/>
    <x v="2"/>
    <x v="4"/>
    <x v="6"/>
  </r>
  <r>
    <n v="10684"/>
    <x v="46"/>
    <x v="2"/>
    <n v="4.99"/>
    <n v="200.4"/>
    <x v="1"/>
    <x v="2"/>
    <s v="Joao Silva"/>
    <x v="2"/>
    <x v="4"/>
    <x v="2"/>
  </r>
  <r>
    <n v="10685"/>
    <x v="47"/>
    <x v="3"/>
    <n v="12.99"/>
    <n v="677.44"/>
    <x v="1"/>
    <x v="2"/>
    <s v="Joao Silva"/>
    <x v="2"/>
    <x v="5"/>
    <x v="23"/>
  </r>
  <r>
    <n v="10686"/>
    <x v="47"/>
    <x v="4"/>
    <n v="9.9499999999999993"/>
    <n v="241.21"/>
    <x v="1"/>
    <x v="2"/>
    <s v="Joao Silva"/>
    <x v="2"/>
    <x v="5"/>
    <x v="24"/>
  </r>
  <r>
    <n v="10687"/>
    <x v="47"/>
    <x v="0"/>
    <n v="3.49"/>
    <n v="630.37"/>
    <x v="1"/>
    <x v="2"/>
    <s v="Walter Muller"/>
    <x v="3"/>
    <x v="5"/>
    <x v="7"/>
  </r>
  <r>
    <n v="10688"/>
    <x v="47"/>
    <x v="1"/>
    <n v="2.95"/>
    <n v="677.97"/>
    <x v="1"/>
    <x v="2"/>
    <s v="Walter Muller"/>
    <x v="3"/>
    <x v="5"/>
    <x v="6"/>
  </r>
  <r>
    <n v="10689"/>
    <x v="47"/>
    <x v="2"/>
    <n v="4.99"/>
    <n v="200.4"/>
    <x v="1"/>
    <x v="2"/>
    <s v="Walter Muller"/>
    <x v="3"/>
    <x v="5"/>
    <x v="2"/>
  </r>
  <r>
    <n v="10690"/>
    <x v="48"/>
    <x v="3"/>
    <n v="12.99"/>
    <n v="677.44"/>
    <x v="1"/>
    <x v="2"/>
    <s v="Walter Muller"/>
    <x v="3"/>
    <x v="6"/>
    <x v="23"/>
  </r>
  <r>
    <n v="10691"/>
    <x v="48"/>
    <x v="4"/>
    <n v="9.9499999999999993"/>
    <n v="261.31"/>
    <x v="1"/>
    <x v="2"/>
    <s v="Walter Muller"/>
    <x v="3"/>
    <x v="6"/>
    <x v="25"/>
  </r>
  <r>
    <n v="10692"/>
    <x v="48"/>
    <x v="0"/>
    <n v="3.49"/>
    <n v="630.37"/>
    <x v="1"/>
    <x v="2"/>
    <s v="Walter Muller"/>
    <x v="3"/>
    <x v="6"/>
    <x v="7"/>
  </r>
  <r>
    <n v="10693"/>
    <x v="48"/>
    <x v="1"/>
    <n v="2.95"/>
    <n v="677.97"/>
    <x v="1"/>
    <x v="2"/>
    <s v="Walter Muller"/>
    <x v="3"/>
    <x v="6"/>
    <x v="6"/>
  </r>
  <r>
    <n v="10694"/>
    <x v="48"/>
    <x v="2"/>
    <n v="4.99"/>
    <n v="200.4"/>
    <x v="1"/>
    <x v="2"/>
    <s v="Walter Muller"/>
    <x v="3"/>
    <x v="6"/>
    <x v="2"/>
  </r>
  <r>
    <n v="10695"/>
    <x v="49"/>
    <x v="3"/>
    <n v="12.99"/>
    <n v="692.84"/>
    <x v="1"/>
    <x v="2"/>
    <s v="Walter Muller"/>
    <x v="3"/>
    <x v="0"/>
    <x v="26"/>
  </r>
  <r>
    <n v="10696"/>
    <x v="49"/>
    <x v="4"/>
    <n v="9.9499999999999993"/>
    <n v="281.41000000000003"/>
    <x v="1"/>
    <x v="2"/>
    <s v="Walter Muller"/>
    <x v="3"/>
    <x v="0"/>
    <x v="27"/>
  </r>
  <r>
    <n v="10697"/>
    <x v="49"/>
    <x v="0"/>
    <n v="3.49"/>
    <n v="630.37"/>
    <x v="1"/>
    <x v="2"/>
    <s v="Walter Muller"/>
    <x v="3"/>
    <x v="0"/>
    <x v="7"/>
  </r>
  <r>
    <n v="10698"/>
    <x v="49"/>
    <x v="1"/>
    <n v="2.95"/>
    <n v="677.97"/>
    <x v="1"/>
    <x v="2"/>
    <s v="Walter Muller"/>
    <x v="3"/>
    <x v="0"/>
    <x v="6"/>
  </r>
  <r>
    <n v="10699"/>
    <x v="49"/>
    <x v="2"/>
    <n v="4.99"/>
    <n v="200.4"/>
    <x v="1"/>
    <x v="2"/>
    <s v="Walter Muller"/>
    <x v="3"/>
    <x v="0"/>
    <x v="2"/>
  </r>
  <r>
    <n v="10700"/>
    <x v="50"/>
    <x v="3"/>
    <n v="12.99"/>
    <n v="692.84"/>
    <x v="1"/>
    <x v="2"/>
    <s v="Walter Muller"/>
    <x v="3"/>
    <x v="1"/>
    <x v="26"/>
  </r>
  <r>
    <n v="10701"/>
    <x v="50"/>
    <x v="4"/>
    <n v="9.9499999999999993"/>
    <n v="281.41000000000003"/>
    <x v="1"/>
    <x v="2"/>
    <s v="Walter Muller"/>
    <x v="3"/>
    <x v="1"/>
    <x v="27"/>
  </r>
  <r>
    <n v="10702"/>
    <x v="50"/>
    <x v="0"/>
    <n v="3.49"/>
    <n v="630.37"/>
    <x v="1"/>
    <x v="2"/>
    <s v="Walter Muller"/>
    <x v="3"/>
    <x v="1"/>
    <x v="7"/>
  </r>
  <r>
    <n v="10703"/>
    <x v="50"/>
    <x v="1"/>
    <n v="2.95"/>
    <n v="677.97"/>
    <x v="1"/>
    <x v="0"/>
    <s v="Walter Muller"/>
    <x v="3"/>
    <x v="1"/>
    <x v="6"/>
  </r>
  <r>
    <n v="10704"/>
    <x v="50"/>
    <x v="2"/>
    <n v="4.99"/>
    <n v="200.4"/>
    <x v="2"/>
    <x v="0"/>
    <s v="Walter Muller"/>
    <x v="3"/>
    <x v="1"/>
    <x v="2"/>
  </r>
  <r>
    <n v="10705"/>
    <x v="51"/>
    <x v="3"/>
    <n v="12.99"/>
    <n v="723.63"/>
    <x v="2"/>
    <x v="0"/>
    <s v="Walter Muller"/>
    <x v="3"/>
    <x v="2"/>
    <x v="28"/>
  </r>
  <r>
    <n v="10706"/>
    <x v="51"/>
    <x v="4"/>
    <n v="9.9499999999999993"/>
    <n v="301.51"/>
    <x v="2"/>
    <x v="0"/>
    <s v="Walter Muller"/>
    <x v="3"/>
    <x v="2"/>
    <x v="29"/>
  </r>
  <r>
    <n v="10707"/>
    <x v="51"/>
    <x v="0"/>
    <n v="3.49"/>
    <n v="630.37"/>
    <x v="2"/>
    <x v="0"/>
    <s v="Walter Muller"/>
    <x v="3"/>
    <x v="2"/>
    <x v="7"/>
  </r>
  <r>
    <n v="10708"/>
    <x v="51"/>
    <x v="1"/>
    <n v="2.95"/>
    <n v="677.97"/>
    <x v="2"/>
    <x v="0"/>
    <s v="Walter Muller"/>
    <x v="3"/>
    <x v="2"/>
    <x v="6"/>
  </r>
  <r>
    <n v="10709"/>
    <x v="51"/>
    <x v="2"/>
    <n v="4.99"/>
    <n v="200.4"/>
    <x v="2"/>
    <x v="0"/>
    <s v="Walter Muller"/>
    <x v="3"/>
    <x v="2"/>
    <x v="2"/>
  </r>
  <r>
    <n v="10710"/>
    <x v="52"/>
    <x v="3"/>
    <n v="12.99"/>
    <n v="754.43"/>
    <x v="2"/>
    <x v="0"/>
    <s v="Walter Muller"/>
    <x v="3"/>
    <x v="3"/>
    <x v="30"/>
  </r>
  <r>
    <n v="10711"/>
    <x v="52"/>
    <x v="4"/>
    <n v="9.9499999999999993"/>
    <n v="281.41000000000003"/>
    <x v="2"/>
    <x v="0"/>
    <s v="Walter Muller"/>
    <x v="3"/>
    <x v="3"/>
    <x v="27"/>
  </r>
  <r>
    <n v="10712"/>
    <x v="52"/>
    <x v="0"/>
    <n v="3.49"/>
    <n v="630.37"/>
    <x v="2"/>
    <x v="0"/>
    <s v="Walter Muller"/>
    <x v="3"/>
    <x v="3"/>
    <x v="7"/>
  </r>
  <r>
    <n v="10713"/>
    <x v="52"/>
    <x v="1"/>
    <n v="2.95"/>
    <n v="677.97"/>
    <x v="2"/>
    <x v="0"/>
    <s v="Walter Muller"/>
    <x v="3"/>
    <x v="3"/>
    <x v="6"/>
  </r>
  <r>
    <m/>
    <x v="53"/>
    <x v="5"/>
    <m/>
    <m/>
    <x v="3"/>
    <x v="3"/>
    <m/>
    <x v="5"/>
    <x v="7"/>
    <x v="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
  <r>
    <n v="10452"/>
    <d v="2022-11-07T00:00:00"/>
    <x v="0"/>
    <n v="3.49"/>
    <n v="573.07000000000005"/>
    <s v="Online "/>
    <x v="0"/>
    <s v="Tom      Jackson"/>
    <s v="London"/>
    <s v="Monday"/>
    <n v="2000.0143000000003"/>
    <s v="2022"/>
  </r>
  <r>
    <n v="10453"/>
    <d v="2022-11-07T00:00:00"/>
    <x v="1"/>
    <n v="2.95"/>
    <n v="745.76"/>
    <s v="Online "/>
    <x v="0"/>
    <s v="       Pablo Perez"/>
    <s v="Madrid"/>
    <s v="Monday"/>
    <n v="2199.9920000000002"/>
    <s v="2022"/>
  </r>
  <r>
    <n v="10454"/>
    <d v="2022-11-07T00:00:00"/>
    <x v="2"/>
    <n v="4.99"/>
    <n v="200.4"/>
    <s v="In-store "/>
    <x v="0"/>
    <s v="Joao    Silva"/>
    <s v="Lisbon"/>
    <s v="Monday"/>
    <n v="999.99600000000009"/>
    <s v="2022"/>
  </r>
  <r>
    <n v="10455"/>
    <d v="2022-11-08T00:00:00"/>
    <x v="3"/>
    <n v="12.99"/>
    <n v="569.66999999999996"/>
    <s v="In-store "/>
    <x v="1"/>
    <s v="Walter Muller"/>
    <s v="Berlin"/>
    <s v="Tuesday"/>
    <n v="7400.0132999999996"/>
    <s v="2022"/>
  </r>
  <r>
    <n v="10456"/>
    <d v="2022-11-08T00:00:00"/>
    <x v="4"/>
    <n v="9.9499999999999993"/>
    <n v="201.01"/>
    <s v="In-store "/>
    <x v="1"/>
    <s v="Walter Muller"/>
    <s v="Berlin"/>
    <s v="Tuesday"/>
    <n v="2000.0494999999999"/>
    <s v="2022"/>
  </r>
  <r>
    <n v="10457"/>
    <d v="2022-11-08T00:00:00"/>
    <x v="0"/>
    <n v="3.49"/>
    <n v="573.07000000000005"/>
    <s v="In-store "/>
    <x v="1"/>
    <s v="Remy    Monet"/>
    <s v="Paris"/>
    <s v="Tuesday"/>
    <n v="2000.0143000000003"/>
    <s v="2022"/>
  </r>
  <r>
    <n v="10459"/>
    <d v="2022-11-08T00:00:00"/>
    <x v="2"/>
    <n v="4.99"/>
    <n v="200.4"/>
    <s v="In-store "/>
    <x v="1"/>
    <s v="Walter Muller"/>
    <s v="Berlin"/>
    <s v="Tuesday"/>
    <n v="999.99600000000009"/>
    <s v="2022"/>
  </r>
  <r>
    <n v="10460"/>
    <d v="2022-11-09T00:00:00"/>
    <x v="3"/>
    <n v="12.99"/>
    <n v="554.27"/>
    <s v="In-store "/>
    <x v="1"/>
    <s v="Remy Monet"/>
    <s v="Paris"/>
    <s v="Wednesday"/>
    <n v="7199.9673000000003"/>
    <s v="2022"/>
  </r>
  <r>
    <n v="10461"/>
    <d v="2022-11-09T00:00:00"/>
    <x v="4"/>
    <n v="9.9499999999999993"/>
    <n v="201.01"/>
    <s v="In-store "/>
    <x v="1"/>
    <s v="Remy Monet"/>
    <s v="Paris"/>
    <s v="Wednesday"/>
    <n v="2000.0494999999999"/>
    <s v="2022"/>
  </r>
  <r>
    <n v="10462"/>
    <d v="2022-11-09T00:00:00"/>
    <x v="0"/>
    <n v="3.49"/>
    <n v="573.07000000000005"/>
    <s v="In-store "/>
    <x v="1"/>
    <s v="       Remy Monet"/>
    <s v="Paris"/>
    <s v="Wednesday"/>
    <n v="2000.0143000000003"/>
    <s v="2022"/>
  </r>
  <r>
    <n v="10463"/>
    <d v="2022-11-09T00:00:00"/>
    <x v="1"/>
    <n v="2.95"/>
    <n v="677.97"/>
    <s v="In-store "/>
    <x v="1"/>
    <s v="       Remy Monet"/>
    <s v="Paris"/>
    <s v="Wednesday"/>
    <n v="2000.0115000000003"/>
    <s v="2022"/>
  </r>
  <r>
    <n v="10464"/>
    <d v="2022-11-09T00:00:00"/>
    <x v="2"/>
    <n v="4.99"/>
    <n v="200.4"/>
    <s v="In-store "/>
    <x v="1"/>
    <s v="Remy     Monet"/>
    <s v="Paris"/>
    <s v="Wednesday"/>
    <n v="999.99600000000009"/>
    <s v="2022"/>
  </r>
  <r>
    <n v="10465"/>
    <d v="2022-11-10T00:00:00"/>
    <x v="3"/>
    <n v="12.99"/>
    <n v="554.27"/>
    <s v="In-store "/>
    <x v="1"/>
    <s v="Pablo Perez"/>
    <s v="Madrid"/>
    <s v="Thursday"/>
    <n v="7199.9673000000003"/>
    <s v="2022"/>
  </r>
  <r>
    <n v="10466"/>
    <d v="2022-11-10T00:00:00"/>
    <x v="4"/>
    <n v="9.9499999999999993"/>
    <n v="201.01"/>
    <s v="In-store "/>
    <x v="1"/>
    <s v="Pablo Perez"/>
    <s v="Madrid"/>
    <s v="Thursday"/>
    <n v="2000.0494999999999"/>
    <s v="2022"/>
  </r>
  <r>
    <n v="10467"/>
    <d v="2022-11-10T00:00:00"/>
    <x v="0"/>
    <n v="3.49"/>
    <n v="573.07000000000005"/>
    <s v="In-store "/>
    <x v="1"/>
    <s v="Pablo Perez"/>
    <s v="Madrid"/>
    <s v="Thursday"/>
    <n v="2000.0143000000003"/>
    <s v="2022"/>
  </r>
  <r>
    <n v="10468"/>
    <d v="2022-11-10T00:00:00"/>
    <x v="1"/>
    <n v="2.95"/>
    <n v="677.97"/>
    <s v="In-store "/>
    <x v="1"/>
    <s v="       Pablo Perez"/>
    <s v="Madrid"/>
    <s v="Thursday"/>
    <n v="2000.0115000000003"/>
    <s v="2022"/>
  </r>
  <r>
    <n v="10470"/>
    <d v="2022-11-11T00:00:00"/>
    <x v="3"/>
    <n v="12.99"/>
    <n v="554.27"/>
    <s v="In-store "/>
    <x v="1"/>
    <s v="       Pablo Perez"/>
    <s v="Madrid"/>
    <s v="Friday"/>
    <n v="7199.9673000000003"/>
    <s v="2022"/>
  </r>
  <r>
    <n v="10471"/>
    <d v="2022-11-11T00:00:00"/>
    <x v="4"/>
    <n v="9.9499999999999993"/>
    <n v="201.01"/>
    <s v="In-store "/>
    <x v="1"/>
    <s v="       Pablo Perez"/>
    <s v="Madrid"/>
    <s v="Friday"/>
    <n v="2000.0494999999999"/>
    <s v="2022"/>
  </r>
  <r>
    <n v="10472"/>
    <d v="2022-11-11T00:00:00"/>
    <x v="0"/>
    <n v="3.49"/>
    <n v="630.37"/>
    <s v="In-store "/>
    <x v="1"/>
    <s v="Pablo   Perez"/>
    <s v="Madrid"/>
    <s v="Friday"/>
    <n v="2199.9913000000001"/>
    <s v="2022"/>
  </r>
  <r>
    <n v="10473"/>
    <d v="2022-11-11T00:00:00"/>
    <x v="1"/>
    <n v="2.95"/>
    <n v="677.97"/>
    <s v="In-store "/>
    <x v="1"/>
    <s v="       Pablo Perez"/>
    <s v="Madrid"/>
    <s v="Friday"/>
    <n v="2000.0115000000003"/>
    <s v="2022"/>
  </r>
  <r>
    <n v="10474"/>
    <d v="2022-11-11T00:00:00"/>
    <x v="2"/>
    <n v="4.99"/>
    <n v="200.4"/>
    <s v="In-store "/>
    <x v="1"/>
    <s v="       Pablo Perez"/>
    <s v="Madrid"/>
    <s v="Friday"/>
    <n v="999.99600000000009"/>
    <s v="2022"/>
  </r>
  <r>
    <n v="10475"/>
    <d v="2022-11-12T00:00:00"/>
    <x v="3"/>
    <n v="12.99"/>
    <n v="523.48"/>
    <s v="In-store "/>
    <x v="1"/>
    <s v="       Pablo Perez"/>
    <s v="Madrid"/>
    <s v="Saturday"/>
    <n v="6800.0052000000005"/>
    <s v="2022"/>
  </r>
  <r>
    <n v="10476"/>
    <d v="2022-11-12T00:00:00"/>
    <x v="4"/>
    <n v="9.9499999999999993"/>
    <n v="201.01"/>
    <s v="In-store "/>
    <x v="1"/>
    <s v="Pablo Perez"/>
    <s v="Madrid"/>
    <s v="Saturday"/>
    <n v="2000.0494999999999"/>
    <s v="2022"/>
  </r>
  <r>
    <n v="10477"/>
    <d v="2022-11-12T00:00:00"/>
    <x v="0"/>
    <n v="3.49"/>
    <n v="630.37"/>
    <s v="In-store "/>
    <x v="1"/>
    <s v="Pablo  Perez"/>
    <s v="Madrid"/>
    <s v="Saturday"/>
    <n v="2199.9913000000001"/>
    <s v="2022"/>
  </r>
  <r>
    <n v="10478"/>
    <d v="2022-11-12T00:00:00"/>
    <x v="1"/>
    <n v="2.95"/>
    <n v="677.97"/>
    <s v="In-store "/>
    <x v="1"/>
    <s v="Pablo Perez"/>
    <s v="Madrid"/>
    <s v="Saturday"/>
    <n v="2000.0115000000003"/>
    <s v="2022"/>
  </r>
  <r>
    <n v="10479"/>
    <d v="2022-11-12T00:00:00"/>
    <x v="2"/>
    <n v="4.99"/>
    <n v="200.4"/>
    <s v="In-store "/>
    <x v="1"/>
    <s v="Pablo    Perez"/>
    <s v="Madrid"/>
    <s v="Saturday"/>
    <n v="999.99600000000009"/>
    <s v="2022"/>
  </r>
  <r>
    <n v="10480"/>
    <d v="2022-11-13T00:00:00"/>
    <x v="3"/>
    <n v="12.99"/>
    <n v="508.08"/>
    <s v="In-store "/>
    <x v="1"/>
    <s v="Pablo Perez"/>
    <s v="Madrid"/>
    <s v="Sunday"/>
    <n v="6599.9592000000002"/>
    <s v="2022"/>
  </r>
  <r>
    <n v="10481"/>
    <d v="2022-11-13T00:00:00"/>
    <x v="4"/>
    <n v="9.9499999999999993"/>
    <n v="201.01"/>
    <s v="In-store "/>
    <x v="1"/>
    <s v="Pablo Perez"/>
    <s v="Madrid"/>
    <s v="Sunday"/>
    <n v="2000.0494999999999"/>
    <s v="2022"/>
  </r>
  <r>
    <n v="10482"/>
    <d v="2022-11-13T00:00:00"/>
    <x v="0"/>
    <n v="25.5"/>
    <n v="630.37"/>
    <s v="In-store "/>
    <x v="1"/>
    <s v="Joao Silva"/>
    <s v="Lisbon"/>
    <s v="Sunday"/>
    <n v="16074.434999999999"/>
    <s v="2022"/>
  </r>
  <r>
    <n v="10486"/>
    <d v="2022-11-14T00:00:00"/>
    <x v="4"/>
    <n v="29.05"/>
    <n v="201.01"/>
    <s v="In-store "/>
    <x v="1"/>
    <s v="Joao    Silva"/>
    <s v="Lisbon"/>
    <s v="Monday"/>
    <n v="5839.3405000000002"/>
    <s v="2022"/>
  </r>
  <r>
    <n v="10487"/>
    <d v="2022-11-14T00:00:00"/>
    <x v="0"/>
    <n v="3.49"/>
    <n v="630.37"/>
    <s v="In-store "/>
    <x v="1"/>
    <s v="Joao Silva"/>
    <s v="Lisbon"/>
    <s v="Monday"/>
    <n v="2199.9913000000001"/>
    <s v="2022"/>
  </r>
  <r>
    <n v="10488"/>
    <d v="2022-11-14T00:00:00"/>
    <x v="1"/>
    <n v="2.95"/>
    <n v="677.97"/>
    <s v="In-store "/>
    <x v="1"/>
    <s v="Joao Silva"/>
    <s v="Lisbon"/>
    <s v="Monday"/>
    <n v="2000.0115000000003"/>
    <s v="2022"/>
  </r>
  <r>
    <n v="10489"/>
    <d v="2022-11-14T00:00:00"/>
    <x v="2"/>
    <n v="4.99"/>
    <n v="200.4"/>
    <s v="In-store "/>
    <x v="1"/>
    <s v="Pablo Perez"/>
    <s v="Madrid"/>
    <s v="Monday"/>
    <n v="999.99600000000009"/>
    <s v="2022"/>
  </r>
  <r>
    <n v="10490"/>
    <d v="2022-11-15T00:00:00"/>
    <x v="3"/>
    <n v="12.99"/>
    <n v="508.08"/>
    <s v="In-store "/>
    <x v="1"/>
    <s v="Pablo Perez"/>
    <s v="Madrid"/>
    <s v="Tuesday"/>
    <n v="6599.9592000000002"/>
    <s v="2022"/>
  </r>
  <r>
    <n v="10491"/>
    <d v="2022-11-15T00:00:00"/>
    <x v="4"/>
    <n v="9.9499999999999993"/>
    <n v="201.01"/>
    <s v="In-store "/>
    <x v="1"/>
    <s v="Pablo Perez"/>
    <s v="Madrid"/>
    <s v="Tuesday"/>
    <n v="2000.0494999999999"/>
    <s v="2022"/>
  </r>
  <r>
    <n v="10492"/>
    <d v="2022-11-15T00:00:00"/>
    <x v="0"/>
    <n v="3.49"/>
    <n v="573.07000000000005"/>
    <s v="In-store "/>
    <x v="1"/>
    <s v="Pablo Perez"/>
    <s v="Madrid"/>
    <s v="Tuesday"/>
    <n v="2000.0143000000003"/>
    <s v="2022"/>
  </r>
  <r>
    <n v="10493"/>
    <d v="2022-11-15T00:00:00"/>
    <x v="1"/>
    <n v="2.95"/>
    <n v="677.97"/>
    <s v="In-store "/>
    <x v="1"/>
    <s v="Pablo Perez"/>
    <s v="Madrid"/>
    <s v="Tuesday"/>
    <n v="2000.0115000000003"/>
    <s v="2022"/>
  </r>
  <r>
    <n v="10494"/>
    <d v="2022-11-15T00:00:00"/>
    <x v="2"/>
    <n v="4.99"/>
    <n v="200.4"/>
    <s v="In-store "/>
    <x v="1"/>
    <s v="Pablo Perez"/>
    <s v="Madrid"/>
    <s v="Tuesday"/>
    <n v="999.99600000000009"/>
    <s v="2022"/>
  </r>
  <r>
    <n v="10495"/>
    <d v="2022-11-16T00:00:00"/>
    <x v="3"/>
    <n v="12.99"/>
    <n v="508.08"/>
    <s v="In-store "/>
    <x v="1"/>
    <s v="Pablo Perez"/>
    <s v="Madrid"/>
    <s v="Wednesday"/>
    <n v="6599.9592000000002"/>
    <s v="2022"/>
  </r>
  <r>
    <n v="10496"/>
    <d v="2022-11-16T00:00:00"/>
    <x v="4"/>
    <n v="9.9499999999999993"/>
    <n v="201.01"/>
    <s v="In-store "/>
    <x v="1"/>
    <s v="Pablo Perez"/>
    <s v="Madrid"/>
    <s v="Wednesday"/>
    <n v="2000.0494999999999"/>
    <s v="2022"/>
  </r>
  <r>
    <n v="10497"/>
    <d v="2022-11-16T00:00:00"/>
    <x v="0"/>
    <n v="3.49"/>
    <n v="573.07000000000005"/>
    <s v="In-store "/>
    <x v="1"/>
    <s v="Pablo Perez"/>
    <s v="Madrid"/>
    <s v="Wednesday"/>
    <n v="2000.0143000000003"/>
    <s v="2022"/>
  </r>
  <r>
    <n v="10498"/>
    <d v="2022-11-16T00:00:00"/>
    <x v="1"/>
    <n v="2.95"/>
    <n v="677.97"/>
    <s v="Drive-thru "/>
    <x v="1"/>
    <s v="Pablo Perez"/>
    <s v="Madrid"/>
    <s v="Wednesday"/>
    <n v="2000.0115000000003"/>
    <s v="2022"/>
  </r>
  <r>
    <n v="10499"/>
    <d v="2022-11-16T00:00:00"/>
    <x v="2"/>
    <n v="4.99"/>
    <n v="200.4"/>
    <s v="Drive-thru "/>
    <x v="1"/>
    <s v="Pablo Perez"/>
    <s v="Madrid"/>
    <s v="Wednesday"/>
    <n v="999.99600000000009"/>
    <s v="2022"/>
  </r>
  <r>
    <n v="10500"/>
    <d v="2022-11-17T00:00:00"/>
    <x v="3"/>
    <n v="12.99"/>
    <n v="523.48"/>
    <s v="Drive-thru "/>
    <x v="1"/>
    <s v="Pablo Perez"/>
    <s v="Madrid"/>
    <s v="Thursday"/>
    <n v="6800.0052000000005"/>
    <s v="2022"/>
  </r>
  <r>
    <n v="10501"/>
    <d v="2022-11-17T00:00:00"/>
    <x v="4"/>
    <n v="9.9499999999999993"/>
    <n v="201.01"/>
    <s v="Drive-thru "/>
    <x v="1"/>
    <s v="Pablo Perez"/>
    <s v="Madrid"/>
    <s v="Thursday"/>
    <n v="2000.0494999999999"/>
    <s v="2022"/>
  </r>
  <r>
    <n v="10502"/>
    <d v="2022-11-17T00:00:00"/>
    <x v="0"/>
    <n v="3.49"/>
    <n v="630.37"/>
    <s v="Drive-thru "/>
    <x v="1"/>
    <s v="Pablo Perez"/>
    <s v="Madrid"/>
    <s v="Thursday"/>
    <n v="2199.9913000000001"/>
    <s v="2022"/>
  </r>
  <r>
    <n v="10503"/>
    <d v="2022-11-17T00:00:00"/>
    <x v="1"/>
    <n v="2.95"/>
    <n v="677.97"/>
    <s v="Drive-thru "/>
    <x v="1"/>
    <s v="Pablo Perez"/>
    <s v="Madrid"/>
    <s v="Thursday"/>
    <n v="2000.0115000000003"/>
    <s v="2022"/>
  </r>
  <r>
    <n v="10504"/>
    <d v="2022-11-17T00:00:00"/>
    <x v="2"/>
    <n v="4.99"/>
    <n v="200.4"/>
    <s v="Drive-thru "/>
    <x v="1"/>
    <s v="Pablo Perez"/>
    <s v="Madrid"/>
    <s v="Thursday"/>
    <n v="999.99600000000009"/>
    <s v="2022"/>
  </r>
  <r>
    <n v="10505"/>
    <d v="2022-11-18T00:00:00"/>
    <x v="3"/>
    <n v="12.99"/>
    <n v="538.88"/>
    <s v="Drive-thru "/>
    <x v="1"/>
    <s v="Pablo Perez"/>
    <s v="Madrid"/>
    <s v="Friday"/>
    <n v="7000.0511999999999"/>
    <s v="2022"/>
  </r>
  <r>
    <n v="10506"/>
    <d v="2022-11-18T00:00:00"/>
    <x v="4"/>
    <n v="9.9499999999999993"/>
    <n v="201.01"/>
    <s v="Drive-thru "/>
    <x v="1"/>
    <s v="Pablo Perez"/>
    <s v="Madrid"/>
    <s v="Friday"/>
    <n v="2000.0494999999999"/>
    <s v="2022"/>
  </r>
  <r>
    <n v="10507"/>
    <d v="2022-11-18T00:00:00"/>
    <x v="0"/>
    <n v="3.49"/>
    <n v="687.68"/>
    <s v="Drive-thru "/>
    <x v="1"/>
    <s v="Pablo Perez"/>
    <s v="Madrid"/>
    <s v="Friday"/>
    <n v="2400.0032000000001"/>
    <s v="2022"/>
  </r>
  <r>
    <n v="10508"/>
    <d v="2022-11-18T00:00:00"/>
    <x v="1"/>
    <n v="2.95"/>
    <n v="677.97"/>
    <s v="Drive-thru "/>
    <x v="1"/>
    <s v="Pablo Perez"/>
    <s v="Madrid"/>
    <s v="Friday"/>
    <n v="2000.0115000000003"/>
    <s v="2022"/>
  </r>
  <r>
    <n v="10509"/>
    <d v="2022-11-18T00:00:00"/>
    <x v="2"/>
    <n v="4.99"/>
    <n v="200.4"/>
    <s v="Drive-thru "/>
    <x v="1"/>
    <s v="Pablo Perez"/>
    <s v="Madrid"/>
    <s v="Friday"/>
    <n v="999.99600000000009"/>
    <s v="2022"/>
  </r>
  <r>
    <n v="10510"/>
    <d v="2022-11-19T00:00:00"/>
    <x v="3"/>
    <n v="12.99"/>
    <n v="508.08"/>
    <s v="Drive-thru "/>
    <x v="1"/>
    <s v="Pablo Perez"/>
    <s v="Madrid"/>
    <s v="Saturday"/>
    <n v="6599.9592000000002"/>
    <s v="2022"/>
  </r>
  <r>
    <n v="10511"/>
    <d v="2022-11-19T00:00:00"/>
    <x v="4"/>
    <n v="9.9499999999999993"/>
    <n v="201.01"/>
    <s v="Drive-thru "/>
    <x v="1"/>
    <s v="Joao Silva"/>
    <s v="Lisbon"/>
    <s v="Saturday"/>
    <n v="2000.0494999999999"/>
    <s v="2022"/>
  </r>
  <r>
    <n v="10512"/>
    <d v="2022-11-19T00:00:00"/>
    <x v="0"/>
    <n v="3.49"/>
    <n v="687.68"/>
    <s v="Drive-thru "/>
    <x v="1"/>
    <s v="Joao Silva"/>
    <s v="Lisbon"/>
    <s v="Saturday"/>
    <n v="2400.0032000000001"/>
    <s v="2022"/>
  </r>
  <r>
    <n v="10513"/>
    <d v="2022-11-19T00:00:00"/>
    <x v="1"/>
    <n v="2.95"/>
    <n v="677.97"/>
    <s v="Drive-thru "/>
    <x v="2"/>
    <s v="Joao Silva"/>
    <s v="Lisbon"/>
    <s v="Saturday"/>
    <n v="2000.0115000000003"/>
    <s v="2022"/>
  </r>
  <r>
    <n v="10514"/>
    <d v="2022-11-19T00:00:00"/>
    <x v="2"/>
    <n v="4.99"/>
    <n v="200.4"/>
    <s v="Drive-thru "/>
    <x v="2"/>
    <s v="Joao Silva"/>
    <s v="Lisbon"/>
    <s v="Saturday"/>
    <n v="999.99600000000009"/>
    <s v="2022"/>
  </r>
  <r>
    <n v="10515"/>
    <d v="2022-11-20T00:00:00"/>
    <x v="3"/>
    <n v="12.99"/>
    <n v="477.29"/>
    <s v="Drive-thru "/>
    <x v="2"/>
    <s v="Joao Silva"/>
    <s v="Lisbon"/>
    <s v="Sunday"/>
    <n v="6199.9971000000005"/>
    <s v="2022"/>
  </r>
  <r>
    <n v="10516"/>
    <d v="2022-11-20T00:00:00"/>
    <x v="4"/>
    <n v="9.9499999999999993"/>
    <n v="201.01"/>
    <s v="Drive-thru "/>
    <x v="2"/>
    <s v="Joao Silva"/>
    <s v="Lisbon"/>
    <s v="Sunday"/>
    <n v="2000.0494999999999"/>
    <s v="2022"/>
  </r>
  <r>
    <n v="10483"/>
    <d v="2022-11-13T00:00:00"/>
    <x v="1"/>
    <n v="2.95"/>
    <n v="677.97"/>
    <s v="In-store "/>
    <x v="1"/>
    <s v="Joao    Silva"/>
    <s v="Lisbon"/>
    <s v="Sunday"/>
    <n v="2000.0115000000003"/>
    <s v="2022"/>
  </r>
  <r>
    <n v="10484"/>
    <d v="2022-11-13T00:00:00"/>
    <x v="2"/>
    <n v="4.99"/>
    <n v="200.4"/>
    <s v="In-store "/>
    <x v="1"/>
    <s v="Joao    Silva"/>
    <s v="Lisbon"/>
    <s v="Sunday"/>
    <n v="999.99600000000009"/>
    <s v="2022"/>
  </r>
  <r>
    <n v="10485"/>
    <d v="2022-11-14T00:00:00"/>
    <x v="3"/>
    <n v="12.99"/>
    <n v="523.48"/>
    <s v="In-store "/>
    <x v="1"/>
    <s v="Joao    Silva"/>
    <s v="Lisbon"/>
    <s v="Monday"/>
    <n v="6800.0052000000005"/>
    <s v="2022"/>
  </r>
  <r>
    <n v="10520"/>
    <d v="2022-11-21T00:00:00"/>
    <x v="3"/>
    <n v="12.99"/>
    <n v="492.69"/>
    <s v="Drive-thru "/>
    <x v="2"/>
    <s v="Remy Monet"/>
    <s v="Paris"/>
    <s v="Monday"/>
    <n v="6400.0430999999999"/>
    <s v="2022"/>
  </r>
  <r>
    <n v="10521"/>
    <d v="2022-11-21T00:00:00"/>
    <x v="4"/>
    <n v="9.9499999999999993"/>
    <n v="201.01"/>
    <s v="Drive-thru "/>
    <x v="2"/>
    <s v="Remy Monet"/>
    <s v="Paris"/>
    <s v="Monday"/>
    <n v="2000.0494999999999"/>
    <s v="2022"/>
  </r>
  <r>
    <n v="10522"/>
    <d v="2022-11-21T00:00:00"/>
    <x v="0"/>
    <n v="3.49"/>
    <n v="687.68"/>
    <s v="Drive-thru "/>
    <x v="2"/>
    <s v="Remy Monet"/>
    <s v="Paris"/>
    <s v="Monday"/>
    <n v="2400.0032000000001"/>
    <s v="2022"/>
  </r>
  <r>
    <n v="10523"/>
    <d v="2022-11-21T00:00:00"/>
    <x v="1"/>
    <n v="2.95"/>
    <n v="745.76"/>
    <s v="Drive-thru "/>
    <x v="2"/>
    <s v="Remy Monet"/>
    <s v="Paris"/>
    <s v="Monday"/>
    <n v="2199.9920000000002"/>
    <s v="2022"/>
  </r>
  <r>
    <n v="10524"/>
    <d v="2022-11-21T00:00:00"/>
    <x v="2"/>
    <n v="4.99"/>
    <n v="200.4"/>
    <s v="Drive-thru "/>
    <x v="2"/>
    <s v="Remy Monet"/>
    <s v="Paris"/>
    <s v="Monday"/>
    <n v="999.99600000000009"/>
    <s v="2022"/>
  </r>
  <r>
    <n v="10525"/>
    <d v="2022-11-22T00:00:00"/>
    <x v="3"/>
    <n v="12.99"/>
    <n v="461.89"/>
    <s v="Drive-thru "/>
    <x v="2"/>
    <s v="Remy Monet"/>
    <s v="Paris"/>
    <s v="Tuesday"/>
    <n v="5999.9511000000002"/>
    <s v="2022"/>
  </r>
  <r>
    <n v="10526"/>
    <d v="2022-11-22T00:00:00"/>
    <x v="4"/>
    <n v="9.9499999999999993"/>
    <n v="201.01"/>
    <s v="Drive-thru "/>
    <x v="2"/>
    <s v="Remy Monet"/>
    <s v="Paris"/>
    <s v="Tuesday"/>
    <n v="2000.0494999999999"/>
    <s v="2022"/>
  </r>
  <r>
    <n v="10527"/>
    <d v="2022-11-22T00:00:00"/>
    <x v="0"/>
    <n v="3.49"/>
    <n v="687.68"/>
    <s v="Drive-thru "/>
    <x v="2"/>
    <s v="Remy Monet"/>
    <s v="Paris"/>
    <s v="Tuesday"/>
    <n v="2400.0032000000001"/>
    <s v="2022"/>
  </r>
  <r>
    <n v="10528"/>
    <d v="2022-11-22T00:00:00"/>
    <x v="1"/>
    <n v="2.95"/>
    <n v="745.76"/>
    <s v="Drive-thru "/>
    <x v="2"/>
    <s v="Remy Monet"/>
    <s v="Paris"/>
    <s v="Tuesday"/>
    <n v="2199.9920000000002"/>
    <s v="2022"/>
  </r>
  <r>
    <n v="10529"/>
    <d v="2022-11-22T00:00:00"/>
    <x v="2"/>
    <n v="4.99"/>
    <n v="200.4"/>
    <s v="Drive-thru "/>
    <x v="2"/>
    <s v="Remy Monet"/>
    <s v="Paris"/>
    <s v="Tuesday"/>
    <n v="999.99600000000009"/>
    <s v="2022"/>
  </r>
  <r>
    <n v="10530"/>
    <d v="2022-11-23T00:00:00"/>
    <x v="3"/>
    <n v="12.99"/>
    <n v="477.29"/>
    <s v="Drive-thru "/>
    <x v="2"/>
    <s v="Remy Monet"/>
    <s v="Paris"/>
    <s v="Wednesday"/>
    <n v="6199.9971000000005"/>
    <s v="2022"/>
  </r>
  <r>
    <n v="10531"/>
    <d v="2022-11-23T00:00:00"/>
    <x v="4"/>
    <n v="9.9499999999999993"/>
    <n v="201.01"/>
    <s v="Drive-thru "/>
    <x v="2"/>
    <s v="Remy Monet"/>
    <s v="Paris"/>
    <s v="Wednesday"/>
    <n v="2000.0494999999999"/>
    <s v="2022"/>
  </r>
  <r>
    <n v="10532"/>
    <d v="2022-11-23T00:00:00"/>
    <x v="0"/>
    <n v="3.49"/>
    <n v="687.68"/>
    <s v="Drive-thru "/>
    <x v="2"/>
    <s v="Joao Silva"/>
    <s v="Lisbon"/>
    <s v="Wednesday"/>
    <n v="2400.0032000000001"/>
    <s v="2022"/>
  </r>
  <r>
    <n v="10533"/>
    <d v="2022-11-23T00:00:00"/>
    <x v="1"/>
    <n v="2.95"/>
    <n v="745.76"/>
    <s v="Drive-thru "/>
    <x v="2"/>
    <s v="Joao Silva"/>
    <s v="Lisbon"/>
    <s v="Wednesday"/>
    <n v="2199.9920000000002"/>
    <s v="2022"/>
  </r>
  <r>
    <n v="10534"/>
    <d v="2022-11-23T00:00:00"/>
    <x v="2"/>
    <n v="4.99"/>
    <n v="200.4"/>
    <s v="Drive-thru "/>
    <x v="2"/>
    <s v="Pablo Perez"/>
    <s v="Madrid"/>
    <s v="Wednesday"/>
    <n v="999.99600000000009"/>
    <s v="2022"/>
  </r>
  <r>
    <n v="10535"/>
    <d v="2022-11-24T00:00:00"/>
    <x v="3"/>
    <n v="12.99"/>
    <n v="477.29"/>
    <s v="Drive-thru "/>
    <x v="1"/>
    <s v="Pablo Perez"/>
    <s v="Madrid"/>
    <s v="Thursday"/>
    <n v="6199.9971000000005"/>
    <s v="2022"/>
  </r>
  <r>
    <n v="10536"/>
    <d v="2022-11-24T00:00:00"/>
    <x v="4"/>
    <n v="9.9499999999999993"/>
    <n v="201.01"/>
    <s v="Drive-thru "/>
    <x v="1"/>
    <s v="Pablo Perez"/>
    <s v="Madrid"/>
    <s v="Thursday"/>
    <n v="2000.0494999999999"/>
    <s v="2022"/>
  </r>
  <r>
    <n v="10540"/>
    <d v="2022-11-25T00:00:00"/>
    <x v="3"/>
    <n v="12.99"/>
    <n v="461.89"/>
    <s v="Drive-thru "/>
    <x v="1"/>
    <s v="Pablo Perez"/>
    <s v="Madrid"/>
    <s v="Friday"/>
    <n v="5999.9511000000002"/>
    <s v="2022"/>
  </r>
  <r>
    <n v="10541"/>
    <d v="2022-11-25T00:00:00"/>
    <x v="4"/>
    <n v="9.9499999999999993"/>
    <n v="201.01"/>
    <s v="Drive-thru "/>
    <x v="1"/>
    <s v="Tom Jackson"/>
    <s v="London"/>
    <s v="Friday"/>
    <n v="2000.0494999999999"/>
    <s v="2022"/>
  </r>
  <r>
    <n v="10542"/>
    <d v="2022-11-25T00:00:00"/>
    <x v="0"/>
    <n v="3.49"/>
    <n v="630.37"/>
    <s v="Drive-thru "/>
    <x v="1"/>
    <s v="Tom Jackson"/>
    <s v="London"/>
    <s v="Friday"/>
    <n v="2199.9913000000001"/>
    <s v="2022"/>
  </r>
  <r>
    <n v="10543"/>
    <d v="2022-11-25T00:00:00"/>
    <x v="1"/>
    <n v="2.95"/>
    <n v="745.76"/>
    <s v="Drive-thru "/>
    <x v="1"/>
    <s v="Tom Jackson"/>
    <s v="London"/>
    <s v="Friday"/>
    <n v="2199.9920000000002"/>
    <s v="2022"/>
  </r>
  <r>
    <n v="10544"/>
    <d v="2022-11-25T00:00:00"/>
    <x v="2"/>
    <n v="4.99"/>
    <n v="200.4"/>
    <s v="Drive-thru "/>
    <x v="1"/>
    <s v="Tom Jackson"/>
    <s v="London"/>
    <s v="Friday"/>
    <n v="999.99600000000009"/>
    <s v="2022"/>
  </r>
  <r>
    <n v="10545"/>
    <d v="2022-11-26T00:00:00"/>
    <x v="3"/>
    <n v="12.99"/>
    <n v="446.5"/>
    <s v="Drive-thru "/>
    <x v="1"/>
    <s v="Tom Jackson"/>
    <s v="London"/>
    <s v="Saturday"/>
    <n v="5800.0349999999999"/>
    <s v="2022"/>
  </r>
  <r>
    <n v="10546"/>
    <d v="2022-11-26T00:00:00"/>
    <x v="4"/>
    <n v="9.9499999999999993"/>
    <n v="201.01"/>
    <s v="Drive-thru "/>
    <x v="1"/>
    <s v="Tom Jackson"/>
    <s v="London"/>
    <s v="Saturday"/>
    <n v="2000.0494999999999"/>
    <s v="2022"/>
  </r>
  <r>
    <n v="10547"/>
    <d v="2022-11-26T00:00:00"/>
    <x v="0"/>
    <n v="3.49"/>
    <n v="630.37"/>
    <s v="Drive-thru "/>
    <x v="1"/>
    <s v="Tom Jackson"/>
    <s v="London"/>
    <s v="Saturday"/>
    <n v="2199.9913000000001"/>
    <s v="2022"/>
  </r>
  <r>
    <n v="10548"/>
    <d v="2022-11-26T00:00:00"/>
    <x v="1"/>
    <n v="2.95"/>
    <n v="745.76"/>
    <s v="Drive-thru "/>
    <x v="1"/>
    <s v="Tom Jackson"/>
    <s v="London"/>
    <s v="Saturday"/>
    <n v="2199.9920000000002"/>
    <s v="2022"/>
  </r>
  <r>
    <n v="10549"/>
    <d v="2022-11-26T00:00:00"/>
    <x v="2"/>
    <n v="4.99"/>
    <n v="200.4"/>
    <s v="Drive-thru "/>
    <x v="1"/>
    <s v="Tom Jackson"/>
    <s v="London"/>
    <s v="Saturday"/>
    <n v="999.99600000000009"/>
    <s v="2022"/>
  </r>
  <r>
    <n v="10550"/>
    <d v="2022-11-27T00:00:00"/>
    <x v="3"/>
    <n v="12.99"/>
    <n v="461.89"/>
    <s v="Drive-thru "/>
    <x v="1"/>
    <s v="Tom Jackson"/>
    <s v="London"/>
    <s v="Sunday"/>
    <n v="5999.9511000000002"/>
    <s v="2022"/>
  </r>
  <r>
    <n v="10551"/>
    <d v="2022-11-27T00:00:00"/>
    <x v="4"/>
    <n v="9.9499999999999993"/>
    <n v="201.01"/>
    <s v="Drive-thru "/>
    <x v="1"/>
    <s v="Tom Jackson"/>
    <s v="London"/>
    <s v="Sunday"/>
    <n v="2000.0494999999999"/>
    <s v="2022"/>
  </r>
  <r>
    <n v="10552"/>
    <d v="2022-11-27T00:00:00"/>
    <x v="0"/>
    <n v="3.49"/>
    <n v="630.37"/>
    <s v="Online "/>
    <x v="1"/>
    <s v="Tom Jackson"/>
    <s v="London"/>
    <s v="Sunday"/>
    <n v="2199.9913000000001"/>
    <s v="2022"/>
  </r>
  <r>
    <n v="10553"/>
    <d v="2022-11-27T00:00:00"/>
    <x v="1"/>
    <n v="2.95"/>
    <n v="745.76"/>
    <s v="Online "/>
    <x v="1"/>
    <s v="Tom Jackson"/>
    <s v="London"/>
    <s v="Sunday"/>
    <n v="2199.9920000000002"/>
    <s v="2022"/>
  </r>
  <r>
    <n v="10554"/>
    <d v="2022-11-27T00:00:00"/>
    <x v="2"/>
    <n v="4.99"/>
    <n v="200.4"/>
    <s v="Online "/>
    <x v="1"/>
    <s v="Tom Jackson"/>
    <s v="London"/>
    <s v="Sunday"/>
    <n v="999.99600000000009"/>
    <s v="2022"/>
  </r>
  <r>
    <n v="10555"/>
    <d v="2022-11-28T00:00:00"/>
    <x v="3"/>
    <n v="12.99"/>
    <n v="477.29"/>
    <s v="Online "/>
    <x v="1"/>
    <s v="Tom Jackson"/>
    <s v="London"/>
    <s v="Monday"/>
    <n v="6199.9971000000005"/>
    <s v="2022"/>
  </r>
  <r>
    <n v="10556"/>
    <d v="2022-11-28T00:00:00"/>
    <x v="4"/>
    <n v="9.9499999999999993"/>
    <n v="201.01"/>
    <s v="Online "/>
    <x v="1"/>
    <s v="Tom Jackson"/>
    <s v="London"/>
    <s v="Monday"/>
    <n v="2000.0494999999999"/>
    <s v="2022"/>
  </r>
  <r>
    <n v="10557"/>
    <d v="2022-11-28T00:00:00"/>
    <x v="0"/>
    <n v="3.49"/>
    <n v="630.37"/>
    <s v="Online "/>
    <x v="1"/>
    <s v="Tom Jackson"/>
    <s v="London"/>
    <s v="Monday"/>
    <n v="2199.9913000000001"/>
    <s v="2022"/>
  </r>
  <r>
    <n v="10558"/>
    <d v="2022-11-28T00:00:00"/>
    <x v="1"/>
    <n v="2.95"/>
    <n v="677.97"/>
    <s v="Online "/>
    <x v="1"/>
    <s v="Tom Jackson"/>
    <s v="London"/>
    <s v="Monday"/>
    <n v="2000.0115000000003"/>
    <s v="2022"/>
  </r>
  <r>
    <n v="10559"/>
    <d v="2022-11-28T00:00:00"/>
    <x v="2"/>
    <n v="4.99"/>
    <n v="200.4"/>
    <s v="Online "/>
    <x v="1"/>
    <s v="Tom Jackson"/>
    <s v="London"/>
    <s v="Monday"/>
    <n v="999.99600000000009"/>
    <s v="2022"/>
  </r>
  <r>
    <n v="10560"/>
    <d v="2022-11-29T00:00:00"/>
    <x v="3"/>
    <n v="12.99"/>
    <n v="477.29"/>
    <s v="Online "/>
    <x v="1"/>
    <s v="Tom Jackson"/>
    <s v="London"/>
    <s v="Tuesday"/>
    <n v="6199.9971000000005"/>
    <s v="2022"/>
  </r>
  <r>
    <n v="10561"/>
    <d v="2022-11-29T00:00:00"/>
    <x v="4"/>
    <n v="9.9499999999999993"/>
    <n v="201.01"/>
    <s v="Online "/>
    <x v="1"/>
    <s v="Tom Jackson"/>
    <s v="London"/>
    <s v="Tuesday"/>
    <n v="2000.0494999999999"/>
    <s v="2022"/>
  </r>
  <r>
    <n v="10562"/>
    <d v="2022-11-29T00:00:00"/>
    <x v="0"/>
    <n v="3.49"/>
    <n v="630.37"/>
    <s v="Online "/>
    <x v="1"/>
    <s v="Tom Jackson"/>
    <s v="London"/>
    <s v="Tuesday"/>
    <n v="2199.9913000000001"/>
    <s v="2022"/>
  </r>
  <r>
    <n v="10563"/>
    <d v="2022-11-29T00:00:00"/>
    <x v="1"/>
    <n v="2.95"/>
    <n v="677.97"/>
    <s v="Online "/>
    <x v="1"/>
    <s v="Tom Jackson"/>
    <s v="London"/>
    <s v="Tuesday"/>
    <n v="2000.0115000000003"/>
    <s v="2022"/>
  </r>
  <r>
    <n v="10564"/>
    <d v="2022-11-29T00:00:00"/>
    <x v="2"/>
    <n v="4.99"/>
    <n v="200.4"/>
    <s v="Online "/>
    <x v="1"/>
    <s v="Tom Jackson"/>
    <s v="London"/>
    <s v="Tuesday"/>
    <n v="999.99600000000009"/>
    <s v="2022"/>
  </r>
  <r>
    <n v="10565"/>
    <d v="2022-11-30T00:00:00"/>
    <x v="3"/>
    <n v="12.99"/>
    <n v="492.69"/>
    <s v="Online "/>
    <x v="1"/>
    <s v="Tom Jackson"/>
    <s v="London"/>
    <s v="Wednesday"/>
    <n v="6400.0430999999999"/>
    <s v="2022"/>
  </r>
  <r>
    <n v="10566"/>
    <d v="2022-11-30T00:00:00"/>
    <x v="4"/>
    <n v="9.9499999999999993"/>
    <n v="201.01"/>
    <s v="Online "/>
    <x v="1"/>
    <s v="Tom Jackson"/>
    <s v="London"/>
    <s v="Wednesday"/>
    <n v="2000.0494999999999"/>
    <s v="2022"/>
  </r>
  <r>
    <n v="10567"/>
    <d v="2022-11-30T00:00:00"/>
    <x v="0"/>
    <n v="3.49"/>
    <n v="630.37"/>
    <s v="Online "/>
    <x v="1"/>
    <s v="Tom Jackson"/>
    <s v="London"/>
    <s v="Wednesday"/>
    <n v="2199.9913000000001"/>
    <s v="2022"/>
  </r>
  <r>
    <n v="10568"/>
    <d v="2022-11-30T00:00:00"/>
    <x v="1"/>
    <n v="2.95"/>
    <n v="677.97"/>
    <s v="Online "/>
    <x v="1"/>
    <s v="Tom Jackson"/>
    <s v="London"/>
    <s v="Wednesday"/>
    <n v="2000.0115000000003"/>
    <s v="2022"/>
  </r>
  <r>
    <n v="10569"/>
    <d v="2022-11-30T00:00:00"/>
    <x v="2"/>
    <n v="4.99"/>
    <n v="200.4"/>
    <s v="Online "/>
    <x v="1"/>
    <s v="Tom Jackson"/>
    <s v="London"/>
    <s v="Wednesday"/>
    <n v="999.99600000000009"/>
    <s v="2022"/>
  </r>
  <r>
    <n v="10570"/>
    <d v="2022-12-01T00:00:00"/>
    <x v="3"/>
    <n v="12.99"/>
    <n v="492.69"/>
    <s v="Online "/>
    <x v="1"/>
    <s v="Tom Jackson"/>
    <s v="London"/>
    <s v="Thursday"/>
    <n v="6400.0430999999999"/>
    <s v="2022"/>
  </r>
  <r>
    <n v="10571"/>
    <d v="2022-12-01T00:00:00"/>
    <x v="4"/>
    <n v="9.9499999999999993"/>
    <n v="201.01"/>
    <s v="Online "/>
    <x v="1"/>
    <s v="Tom Jackson"/>
    <s v="London"/>
    <s v="Thursday"/>
    <n v="2000.0494999999999"/>
    <s v="2022"/>
  </r>
  <r>
    <n v="10572"/>
    <d v="2022-12-01T00:00:00"/>
    <x v="0"/>
    <n v="3.49"/>
    <n v="573.07000000000005"/>
    <s v="Online "/>
    <x v="1"/>
    <s v="Remy Monet"/>
    <s v="Paris"/>
    <s v="Thursday"/>
    <n v="2000.0143000000003"/>
    <s v="2022"/>
  </r>
  <r>
    <n v="10573"/>
    <d v="2022-12-01T00:00:00"/>
    <x v="1"/>
    <n v="2.95"/>
    <n v="677.97"/>
    <s v="Online "/>
    <x v="1"/>
    <s v="Remy Monet"/>
    <s v="Paris"/>
    <s v="Thursday"/>
    <n v="2000.0115000000003"/>
    <s v="2022"/>
  </r>
  <r>
    <n v="10574"/>
    <d v="2022-12-01T00:00:00"/>
    <x v="2"/>
    <n v="4.99"/>
    <n v="200.4"/>
    <s v="Online "/>
    <x v="1"/>
    <s v="Remy Monet"/>
    <s v="Paris"/>
    <s v="Thursday"/>
    <n v="999.99600000000009"/>
    <s v="2022"/>
  </r>
  <r>
    <n v="10575"/>
    <d v="2022-12-02T00:00:00"/>
    <x v="3"/>
    <n v="12.99"/>
    <n v="523.48"/>
    <s v="Online "/>
    <x v="1"/>
    <s v="Remy Monet"/>
    <s v="Paris"/>
    <s v="Friday"/>
    <n v="6800.0052000000005"/>
    <s v="2022"/>
  </r>
  <r>
    <n v="10576"/>
    <d v="2022-12-02T00:00:00"/>
    <x v="4"/>
    <n v="9.9499999999999993"/>
    <n v="201.01"/>
    <s v="Online "/>
    <x v="1"/>
    <s v="Remy Monet"/>
    <s v="Paris"/>
    <s v="Friday"/>
    <n v="2000.0494999999999"/>
    <s v="2022"/>
  </r>
  <r>
    <n v="10577"/>
    <d v="2022-12-02T00:00:00"/>
    <x v="0"/>
    <n v="3.49"/>
    <n v="630.37"/>
    <s v="Online "/>
    <x v="1"/>
    <s v="Remy Monet"/>
    <s v="Paris"/>
    <s v="Friday"/>
    <n v="2199.9913000000001"/>
    <s v="2022"/>
  </r>
  <r>
    <n v="10578"/>
    <d v="2022-12-02T00:00:00"/>
    <x v="1"/>
    <n v="2.95"/>
    <n v="677.97"/>
    <s v="Online "/>
    <x v="1"/>
    <s v="Remy Monet"/>
    <s v="Paris"/>
    <s v="Friday"/>
    <n v="2000.0115000000003"/>
    <s v="2022"/>
  </r>
  <r>
    <n v="10579"/>
    <d v="2022-12-02T00:00:00"/>
    <x v="2"/>
    <n v="4.99"/>
    <n v="200.4"/>
    <s v="Online "/>
    <x v="1"/>
    <s v="Remy Monet"/>
    <s v="Paris"/>
    <s v="Friday"/>
    <n v="999.99600000000009"/>
    <s v="2022"/>
  </r>
  <r>
    <n v="10580"/>
    <d v="2022-12-03T00:00:00"/>
    <x v="3"/>
    <n v="12.99"/>
    <n v="523.48"/>
    <s v="Online "/>
    <x v="1"/>
    <s v="Remy Monet"/>
    <s v="Paris"/>
    <s v="Saturday"/>
    <n v="6800.0052000000005"/>
    <s v="2022"/>
  </r>
  <r>
    <n v="10581"/>
    <d v="2022-12-03T00:00:00"/>
    <x v="4"/>
    <n v="9.9499999999999993"/>
    <n v="201.01"/>
    <s v="Online "/>
    <x v="1"/>
    <s v="Remy Monet"/>
    <s v="Paris"/>
    <s v="Saturday"/>
    <n v="2000.0494999999999"/>
    <s v="2022"/>
  </r>
  <r>
    <n v="10582"/>
    <d v="2022-12-03T00:00:00"/>
    <x v="0"/>
    <n v="3.49"/>
    <n v="630.37"/>
    <s v="Online "/>
    <x v="1"/>
    <s v="Tom Jackson"/>
    <s v="London"/>
    <s v="Saturday"/>
    <n v="2199.9913000000001"/>
    <s v="2022"/>
  </r>
  <r>
    <n v="10583"/>
    <d v="2022-12-03T00:00:00"/>
    <x v="1"/>
    <n v="2.95"/>
    <n v="677.97"/>
    <s v="Online "/>
    <x v="1"/>
    <s v="Tom Jackson"/>
    <s v="London"/>
    <s v="Saturday"/>
    <n v="2000.0115000000003"/>
    <s v="2022"/>
  </r>
  <r>
    <n v="10584"/>
    <d v="2022-12-03T00:00:00"/>
    <x v="2"/>
    <n v="4.99"/>
    <n v="200.4"/>
    <s v="Online "/>
    <x v="1"/>
    <s v="Tom Jackson"/>
    <s v="London"/>
    <s v="Saturday"/>
    <n v="999.99600000000009"/>
    <s v="2022"/>
  </r>
  <r>
    <n v="10585"/>
    <d v="2022-12-04T00:00:00"/>
    <x v="3"/>
    <n v="12.99"/>
    <n v="538.88"/>
    <s v="Online "/>
    <x v="1"/>
    <s v="Tom Jackson"/>
    <s v="London"/>
    <s v="Sunday"/>
    <n v="7000.0511999999999"/>
    <s v="2022"/>
  </r>
  <r>
    <n v="10586"/>
    <d v="2022-12-04T00:00:00"/>
    <x v="4"/>
    <n v="9.9499999999999993"/>
    <n v="201.01"/>
    <s v="Online "/>
    <x v="1"/>
    <s v="Tom Jackson"/>
    <s v="London"/>
    <s v="Sunday"/>
    <n v="2000.0494999999999"/>
    <s v="2022"/>
  </r>
  <r>
    <n v="10537"/>
    <d v="2022-11-24T00:00:00"/>
    <x v="0"/>
    <n v="3.49"/>
    <n v="630.37"/>
    <s v="Drive-thru "/>
    <x v="1"/>
    <s v="Pablo Perez"/>
    <s v="Madrid"/>
    <s v="Thursday"/>
    <n v="2199.9913000000001"/>
    <s v="2022"/>
  </r>
  <r>
    <n v="10538"/>
    <d v="2022-11-24T00:00:00"/>
    <x v="1"/>
    <n v="2.95"/>
    <n v="745.76"/>
    <s v="Drive-thru "/>
    <x v="1"/>
    <s v="Pablo Perez"/>
    <s v="Madrid"/>
    <s v="Thursday"/>
    <n v="2199.9920000000002"/>
    <s v="2022"/>
  </r>
  <r>
    <n v="10539"/>
    <d v="2022-11-24T00:00:00"/>
    <x v="2"/>
    <n v="4.99"/>
    <n v="200.4"/>
    <s v="Drive-thru "/>
    <x v="1"/>
    <s v="Pablo Perez"/>
    <s v="Madrid"/>
    <s v="Thursday"/>
    <n v="999.99600000000009"/>
    <s v="2022"/>
  </r>
  <r>
    <n v="10590"/>
    <d v="2022-12-05T00:00:00"/>
    <x v="3"/>
    <n v="12.99"/>
    <n v="554.27"/>
    <s v="Online "/>
    <x v="1"/>
    <s v="Tom Jackson"/>
    <s v="London"/>
    <s v="Monday"/>
    <n v="7199.9673000000003"/>
    <s v="2022"/>
  </r>
  <r>
    <n v="10591"/>
    <d v="2022-12-05T00:00:00"/>
    <x v="4"/>
    <n v="9.9499999999999993"/>
    <n v="201.01"/>
    <s v="Online "/>
    <x v="1"/>
    <s v="Tom Jackson"/>
    <s v="London"/>
    <s v="Monday"/>
    <n v="2000.0494999999999"/>
    <s v="2022"/>
  </r>
  <r>
    <n v="10592"/>
    <d v="2022-12-05T00:00:00"/>
    <x v="0"/>
    <n v="3.49"/>
    <n v="573.07000000000005"/>
    <s v="Online "/>
    <x v="1"/>
    <s v="Tom Jackson"/>
    <s v="London"/>
    <s v="Monday"/>
    <n v="2000.0143000000003"/>
    <s v="2022"/>
  </r>
  <r>
    <n v="10593"/>
    <d v="2022-12-05T00:00:00"/>
    <x v="1"/>
    <n v="2.95"/>
    <n v="677.97"/>
    <s v="Online "/>
    <x v="1"/>
    <s v="Tom Jackson"/>
    <s v="London"/>
    <s v="Monday"/>
    <n v="2000.0115000000003"/>
    <s v="2022"/>
  </r>
  <r>
    <n v="10594"/>
    <d v="2022-12-05T00:00:00"/>
    <x v="2"/>
    <n v="4.99"/>
    <n v="200.4"/>
    <s v="Online "/>
    <x v="1"/>
    <s v="Tom Jackson"/>
    <s v="London"/>
    <s v="Monday"/>
    <n v="999.99600000000009"/>
    <s v="2022"/>
  </r>
  <r>
    <n v="10595"/>
    <d v="2022-12-06T00:00:00"/>
    <x v="3"/>
    <n v="12.99"/>
    <n v="538.88"/>
    <s v="Online "/>
    <x v="1"/>
    <s v="Tom Jackson"/>
    <s v="London"/>
    <s v="Tuesday"/>
    <n v="7000.0511999999999"/>
    <s v="2022"/>
  </r>
  <r>
    <n v="10596"/>
    <d v="2022-12-06T00:00:00"/>
    <x v="4"/>
    <n v="9.9499999999999993"/>
    <n v="201.01"/>
    <s v="Online "/>
    <x v="1"/>
    <s v="Tom Jackson"/>
    <s v="London"/>
    <s v="Tuesday"/>
    <n v="2000.0494999999999"/>
    <s v="2022"/>
  </r>
  <r>
    <n v="10597"/>
    <d v="2022-12-06T00:00:00"/>
    <x v="0"/>
    <n v="3.49"/>
    <n v="573.07000000000005"/>
    <s v="Online "/>
    <x v="1"/>
    <s v="Tom Jackson"/>
    <s v="London"/>
    <s v="Tuesday"/>
    <n v="2000.0143000000003"/>
    <s v="2022"/>
  </r>
  <r>
    <n v="10598"/>
    <d v="2022-12-06T00:00:00"/>
    <x v="1"/>
    <n v="2.95"/>
    <n v="677.97"/>
    <s v="Online "/>
    <x v="1"/>
    <s v="Tom Jackson"/>
    <s v="London"/>
    <s v="Tuesday"/>
    <n v="2000.0115000000003"/>
    <s v="2022"/>
  </r>
  <r>
    <n v="10599"/>
    <d v="2022-12-06T00:00:00"/>
    <x v="2"/>
    <n v="4.99"/>
    <n v="200.4"/>
    <s v="Online "/>
    <x v="1"/>
    <s v="Tom Jackson"/>
    <s v="London"/>
    <s v="Tuesday"/>
    <n v="999.99600000000009"/>
    <s v="2022"/>
  </r>
  <r>
    <n v="10600"/>
    <d v="2022-12-07T00:00:00"/>
    <x v="3"/>
    <n v="12.99"/>
    <n v="523.48"/>
    <s v="Online "/>
    <x v="1"/>
    <s v="Tom Jackson"/>
    <s v="London"/>
    <s v="Wednesday"/>
    <n v="6800.0052000000005"/>
    <s v="2022"/>
  </r>
  <r>
    <n v="10601"/>
    <d v="2022-12-07T00:00:00"/>
    <x v="4"/>
    <n v="9.9499999999999993"/>
    <n v="201.01"/>
    <s v="Online "/>
    <x v="1"/>
    <s v="Tom Jackson"/>
    <s v="London"/>
    <s v="Wednesday"/>
    <n v="2000.0494999999999"/>
    <s v="2022"/>
  </r>
  <r>
    <n v="10602"/>
    <d v="2022-12-07T00:00:00"/>
    <x v="0"/>
    <n v="3.49"/>
    <n v="630.37"/>
    <s v="Online "/>
    <x v="2"/>
    <s v="Tom Jackson"/>
    <s v="London"/>
    <s v="Wednesday"/>
    <n v="2199.9913000000001"/>
    <s v="2022"/>
  </r>
  <r>
    <n v="10603"/>
    <d v="2022-12-07T00:00:00"/>
    <x v="1"/>
    <n v="2.95"/>
    <n v="677.97"/>
    <s v="Online "/>
    <x v="2"/>
    <s v="Tom Jackson"/>
    <s v="London"/>
    <s v="Wednesday"/>
    <n v="2000.0115000000003"/>
    <s v="2022"/>
  </r>
  <r>
    <n v="10604"/>
    <d v="2022-12-07T00:00:00"/>
    <x v="2"/>
    <n v="4.99"/>
    <n v="200.4"/>
    <s v="Online "/>
    <x v="2"/>
    <s v="Tom Jackson"/>
    <s v="London"/>
    <s v="Wednesday"/>
    <n v="999.99600000000009"/>
    <s v="2022"/>
  </r>
  <r>
    <n v="10605"/>
    <d v="2022-12-08T00:00:00"/>
    <x v="3"/>
    <n v="12.99"/>
    <n v="538.88"/>
    <s v="Online "/>
    <x v="2"/>
    <s v="Tom Jackson"/>
    <s v="London"/>
    <s v="Thursday"/>
    <n v="7000.0511999999999"/>
    <s v="2022"/>
  </r>
  <r>
    <n v="10606"/>
    <d v="2022-12-08T00:00:00"/>
    <x v="4"/>
    <n v="9.9499999999999993"/>
    <n v="201.01"/>
    <s v="Online "/>
    <x v="2"/>
    <s v="Tom Jackson"/>
    <s v="London"/>
    <s v="Thursday"/>
    <n v="2000.0494999999999"/>
    <s v="2022"/>
  </r>
  <r>
    <n v="10607"/>
    <d v="2022-12-08T00:00:00"/>
    <x v="0"/>
    <n v="3.49"/>
    <n v="630.37"/>
    <s v="Online "/>
    <x v="2"/>
    <s v="Tom Jackson"/>
    <s v="London"/>
    <s v="Thursday"/>
    <n v="2199.9913000000001"/>
    <s v="2022"/>
  </r>
  <r>
    <n v="10608"/>
    <d v="2022-12-08T00:00:00"/>
    <x v="1"/>
    <n v="2.95"/>
    <n v="677.97"/>
    <s v="Online "/>
    <x v="0"/>
    <s v="Tom Jackson"/>
    <s v="London"/>
    <s v="Thursday"/>
    <n v="2000.0115000000003"/>
    <s v="2022"/>
  </r>
  <r>
    <n v="10609"/>
    <d v="2022-12-08T00:00:00"/>
    <x v="2"/>
    <n v="4.99"/>
    <n v="200.4"/>
    <s v="Online "/>
    <x v="0"/>
    <s v="Tom Jackson"/>
    <s v="London"/>
    <s v="Thursday"/>
    <n v="999.99600000000009"/>
    <s v="2022"/>
  </r>
  <r>
    <n v="10610"/>
    <d v="2022-12-09T00:00:00"/>
    <x v="3"/>
    <n v="12.99"/>
    <n v="569.66999999999996"/>
    <s v="Online "/>
    <x v="0"/>
    <s v="Tom Jackson"/>
    <s v="London"/>
    <s v="Friday"/>
    <n v="7400.0132999999996"/>
    <s v="2022"/>
  </r>
  <r>
    <n v="10611"/>
    <d v="2022-12-09T00:00:00"/>
    <x v="4"/>
    <n v="9.9499999999999993"/>
    <n v="201.01"/>
    <s v="Online "/>
    <x v="0"/>
    <s v="Tom Jackson"/>
    <s v="London"/>
    <s v="Friday"/>
    <n v="2000.0494999999999"/>
    <s v="2022"/>
  </r>
  <r>
    <n v="10612"/>
    <d v="2022-12-09T00:00:00"/>
    <x v="0"/>
    <n v="3.49"/>
    <n v="630.37"/>
    <s v="Online "/>
    <x v="0"/>
    <s v="Tom Jackson"/>
    <s v="London"/>
    <s v="Friday"/>
    <n v="2199.9913000000001"/>
    <s v="2022"/>
  </r>
  <r>
    <n v="10613"/>
    <d v="2022-12-09T00:00:00"/>
    <x v="1"/>
    <n v="2.95"/>
    <n v="677.97"/>
    <s v="Online "/>
    <x v="0"/>
    <s v="Tom Jackson"/>
    <s v="London"/>
    <s v="Friday"/>
    <n v="2000.0115000000003"/>
    <s v="2022"/>
  </r>
  <r>
    <n v="10614"/>
    <d v="2022-12-09T00:00:00"/>
    <x v="2"/>
    <n v="4.99"/>
    <n v="200.4"/>
    <s v="Online "/>
    <x v="0"/>
    <s v="Tom Jackson"/>
    <s v="London"/>
    <s v="Friday"/>
    <n v="999.99600000000009"/>
    <s v="2022"/>
  </r>
  <r>
    <n v="10615"/>
    <d v="2022-12-10T00:00:00"/>
    <x v="3"/>
    <n v="12.99"/>
    <n v="569.66999999999996"/>
    <s v="Online "/>
    <x v="0"/>
    <s v="Tom Jackson"/>
    <s v="London"/>
    <s v="Saturday"/>
    <n v="7400.0132999999996"/>
    <s v="2022"/>
  </r>
  <r>
    <n v="10616"/>
    <d v="2022-12-10T00:00:00"/>
    <x v="4"/>
    <n v="9.9499999999999993"/>
    <n v="201.01"/>
    <s v="Online "/>
    <x v="0"/>
    <s v="Tom Jackson"/>
    <s v="London"/>
    <s v="Saturday"/>
    <n v="2000.0494999999999"/>
    <s v="2022"/>
  </r>
  <r>
    <n v="10617"/>
    <d v="2022-12-10T00:00:00"/>
    <x v="0"/>
    <n v="3.49"/>
    <n v="630.37"/>
    <s v="Online "/>
    <x v="0"/>
    <s v="Tom Jackson"/>
    <s v="London"/>
    <s v="Saturday"/>
    <n v="2199.9913000000001"/>
    <s v="2022"/>
  </r>
  <r>
    <n v="10618"/>
    <d v="2022-12-10T00:00:00"/>
    <x v="1"/>
    <n v="2.95"/>
    <n v="677.97"/>
    <s v="Online "/>
    <x v="0"/>
    <s v="Tom Jackson"/>
    <s v="London"/>
    <s v="Saturday"/>
    <n v="2000.0115000000003"/>
    <s v="2022"/>
  </r>
  <r>
    <n v="10619"/>
    <d v="2022-12-10T00:00:00"/>
    <x v="2"/>
    <n v="4.99"/>
    <n v="200.4"/>
    <s v="Online "/>
    <x v="0"/>
    <s v="Tom Jackson"/>
    <s v="London"/>
    <s v="Saturday"/>
    <n v="999.99600000000009"/>
    <s v="2022"/>
  </r>
  <r>
    <n v="10620"/>
    <d v="2022-12-11T00:00:00"/>
    <x v="3"/>
    <n v="12.99"/>
    <n v="585.07000000000005"/>
    <s v="Online "/>
    <x v="0"/>
    <s v="Tom Jackson"/>
    <s v="London"/>
    <s v="Sunday"/>
    <n v="7600.0593000000008"/>
    <s v="2022"/>
  </r>
  <r>
    <n v="10621"/>
    <d v="2022-12-11T00:00:00"/>
    <x v="4"/>
    <n v="9.9499999999999993"/>
    <n v="201.01"/>
    <s v="Online "/>
    <x v="0"/>
    <s v="Tom Jackson"/>
    <s v="London"/>
    <s v="Sunday"/>
    <n v="2000.0494999999999"/>
    <s v="2022"/>
  </r>
  <r>
    <n v="10622"/>
    <d v="2022-12-11T00:00:00"/>
    <x v="0"/>
    <n v="3.49"/>
    <n v="630.37"/>
    <s v="Online "/>
    <x v="0"/>
    <s v="Tom Jackson"/>
    <s v="London"/>
    <s v="Sunday"/>
    <n v="2199.9913000000001"/>
    <s v="2022"/>
  </r>
  <r>
    <n v="10623"/>
    <d v="2022-12-11T00:00:00"/>
    <x v="1"/>
    <n v="2.95"/>
    <n v="745.76"/>
    <s v="Online "/>
    <x v="0"/>
    <s v="Tom Jackson"/>
    <s v="London"/>
    <s v="Sunday"/>
    <n v="2199.9920000000002"/>
    <s v="2022"/>
  </r>
  <r>
    <n v="10624"/>
    <d v="2022-12-11T00:00:00"/>
    <x v="2"/>
    <n v="4.99"/>
    <n v="200.4"/>
    <s v="Online "/>
    <x v="0"/>
    <s v="Tom Jackson"/>
    <s v="London"/>
    <s v="Sunday"/>
    <n v="999.99600000000009"/>
    <s v="2022"/>
  </r>
  <r>
    <n v="10625"/>
    <d v="2022-12-12T00:00:00"/>
    <x v="3"/>
    <n v="12.99"/>
    <n v="569.66999999999996"/>
    <s v="Online "/>
    <x v="0"/>
    <s v="Tom Jackson"/>
    <s v="London"/>
    <s v="Monday"/>
    <n v="7400.0132999999996"/>
    <s v="2022"/>
  </r>
  <r>
    <n v="10626"/>
    <d v="2022-12-12T00:00:00"/>
    <x v="4"/>
    <n v="9.9499999999999993"/>
    <n v="201.01"/>
    <s v="Online "/>
    <x v="0"/>
    <s v="Tom Jackson"/>
    <s v="London"/>
    <s v="Monday"/>
    <n v="2000.0494999999999"/>
    <s v="2022"/>
  </r>
  <r>
    <n v="10627"/>
    <d v="2022-12-12T00:00:00"/>
    <x v="0"/>
    <n v="3.49"/>
    <n v="630.37"/>
    <s v="Online "/>
    <x v="0"/>
    <s v="Tom Jackson"/>
    <s v="London"/>
    <s v="Monday"/>
    <n v="2199.9913000000001"/>
    <s v="2022"/>
  </r>
  <r>
    <n v="10628"/>
    <d v="2022-12-12T00:00:00"/>
    <x v="1"/>
    <n v="2.95"/>
    <n v="677.97"/>
    <s v="Online "/>
    <x v="0"/>
    <s v="Joao Silva"/>
    <s v="Lisbon"/>
    <s v="Monday"/>
    <n v="2000.0115000000003"/>
    <s v="2022"/>
  </r>
  <r>
    <n v="10629"/>
    <d v="2022-12-12T00:00:00"/>
    <x v="2"/>
    <n v="4.99"/>
    <n v="200.4"/>
    <s v="Online "/>
    <x v="0"/>
    <s v="Joao Silva"/>
    <s v="Lisbon"/>
    <s v="Monday"/>
    <n v="999.99600000000009"/>
    <s v="2022"/>
  </r>
  <r>
    <n v="10630"/>
    <d v="2022-12-13T00:00:00"/>
    <x v="3"/>
    <n v="12.99"/>
    <n v="569.66999999999996"/>
    <s v="Online "/>
    <x v="2"/>
    <s v="Joao Silva"/>
    <s v="Lisbon"/>
    <s v="Tuesday"/>
    <n v="7400.0132999999996"/>
    <s v="2022"/>
  </r>
  <r>
    <n v="10631"/>
    <d v="2022-12-13T00:00:00"/>
    <x v="4"/>
    <n v="9.9499999999999993"/>
    <n v="201.01"/>
    <s v="Online "/>
    <x v="0"/>
    <s v="Joao Silva"/>
    <s v="Lisbon"/>
    <s v="Tuesday"/>
    <n v="2000.0494999999999"/>
    <s v="2022"/>
  </r>
  <r>
    <n v="10632"/>
    <d v="2022-12-13T00:00:00"/>
    <x v="0"/>
    <n v="3.49"/>
    <n v="630.37"/>
    <s v="Online "/>
    <x v="0"/>
    <s v="Joao Silva"/>
    <s v="Lisbon"/>
    <s v="Tuesday"/>
    <n v="2199.9913000000001"/>
    <s v="2022"/>
  </r>
  <r>
    <n v="10633"/>
    <d v="2022-12-13T00:00:00"/>
    <x v="1"/>
    <n v="2.95"/>
    <n v="677.97"/>
    <s v="Online "/>
    <x v="0"/>
    <s v="Joao Silva"/>
    <s v="Lisbon"/>
    <s v="Tuesday"/>
    <n v="2000.0115000000003"/>
    <s v="2022"/>
  </r>
  <r>
    <n v="10634"/>
    <d v="2022-12-13T00:00:00"/>
    <x v="2"/>
    <n v="4.99"/>
    <n v="200.4"/>
    <s v="Online "/>
    <x v="0"/>
    <s v="Joao Silva"/>
    <s v="Lisbon"/>
    <s v="Tuesday"/>
    <n v="999.99600000000009"/>
    <s v="2022"/>
  </r>
  <r>
    <n v="10635"/>
    <d v="2022-12-14T00:00:00"/>
    <x v="3"/>
    <n v="12.99"/>
    <n v="554.27"/>
    <s v="Online "/>
    <x v="0"/>
    <s v="Joao Silva"/>
    <s v="Lisbon"/>
    <s v="Wednesday"/>
    <n v="7199.9673000000003"/>
    <s v="2022"/>
  </r>
  <r>
    <n v="10636"/>
    <d v="2022-12-14T00:00:00"/>
    <x v="4"/>
    <n v="9.9499999999999993"/>
    <n v="221.11"/>
    <s v="Online "/>
    <x v="0"/>
    <s v="Joao Silva"/>
    <s v="Lisbon"/>
    <s v="Wednesday"/>
    <n v="2200.0445"/>
    <s v="2022"/>
  </r>
  <r>
    <n v="10637"/>
    <d v="2022-12-14T00:00:00"/>
    <x v="0"/>
    <n v="3.49"/>
    <n v="630.37"/>
    <s v="Online "/>
    <x v="0"/>
    <s v="Joao Silva"/>
    <s v="Lisbon"/>
    <s v="Wednesday"/>
    <n v="2199.9913000000001"/>
    <s v="2022"/>
  </r>
  <r>
    <n v="10638"/>
    <d v="2022-12-14T00:00:00"/>
    <x v="1"/>
    <n v="2.95"/>
    <n v="677.97"/>
    <s v="Online "/>
    <x v="0"/>
    <s v="Joao Silva"/>
    <s v="Lisbon"/>
    <s v="Wednesday"/>
    <n v="2000.0115000000003"/>
    <s v="2022"/>
  </r>
  <r>
    <n v="10639"/>
    <d v="2022-12-14T00:00:00"/>
    <x v="2"/>
    <n v="4.99"/>
    <n v="200.4"/>
    <s v="Online "/>
    <x v="0"/>
    <s v="Joao Silva"/>
    <s v="Lisbon"/>
    <s v="Wednesday"/>
    <n v="999.99600000000009"/>
    <s v="2022"/>
  </r>
  <r>
    <n v="10640"/>
    <d v="2022-12-15T00:00:00"/>
    <x v="3"/>
    <n v="12.99"/>
    <n v="538.88"/>
    <s v="Online "/>
    <x v="0"/>
    <s v="Joao Silva"/>
    <s v="Lisbon"/>
    <s v="Thursday"/>
    <n v="7000.0511999999999"/>
    <s v="2022"/>
  </r>
  <r>
    <n v="10641"/>
    <d v="2022-12-15T00:00:00"/>
    <x v="4"/>
    <n v="9.9499999999999993"/>
    <n v="221.11"/>
    <s v="Online "/>
    <x v="0"/>
    <s v="Joao Silva"/>
    <s v="Lisbon"/>
    <s v="Thursday"/>
    <n v="2200.0445"/>
    <s v="2022"/>
  </r>
  <r>
    <n v="10642"/>
    <d v="2022-12-15T00:00:00"/>
    <x v="0"/>
    <n v="3.49"/>
    <n v="630.37"/>
    <s v="Online "/>
    <x v="2"/>
    <s v="Joao Silva"/>
    <s v="Lisbon"/>
    <s v="Thursday"/>
    <n v="2199.9913000000001"/>
    <s v="2022"/>
  </r>
  <r>
    <n v="10643"/>
    <d v="2022-12-15T00:00:00"/>
    <x v="1"/>
    <n v="2.95"/>
    <n v="677.97"/>
    <s v="Online "/>
    <x v="2"/>
    <s v="Joao Silva"/>
    <s v="Lisbon"/>
    <s v="Thursday"/>
    <n v="2000.0115000000003"/>
    <s v="2022"/>
  </r>
  <r>
    <n v="10644"/>
    <d v="2022-12-15T00:00:00"/>
    <x v="2"/>
    <n v="4.99"/>
    <n v="200.4"/>
    <s v="Online "/>
    <x v="2"/>
    <s v="Joao Silva"/>
    <s v="Lisbon"/>
    <s v="Thursday"/>
    <n v="999.99600000000009"/>
    <s v="2022"/>
  </r>
  <r>
    <n v="10645"/>
    <d v="2022-12-16T00:00:00"/>
    <x v="3"/>
    <n v="12.99"/>
    <n v="569.66999999999996"/>
    <s v="Online "/>
    <x v="2"/>
    <s v="Joao Silva"/>
    <s v="Lisbon"/>
    <s v="Friday"/>
    <n v="7400.0132999999996"/>
    <s v="2022"/>
  </r>
  <r>
    <n v="10646"/>
    <d v="2022-12-16T00:00:00"/>
    <x v="4"/>
    <n v="9.9499999999999993"/>
    <n v="221.11"/>
    <s v="Online "/>
    <x v="2"/>
    <s v="Joao Silva"/>
    <s v="Lisbon"/>
    <s v="Friday"/>
    <n v="2200.0445"/>
    <s v="2022"/>
  </r>
  <r>
    <n v="10647"/>
    <d v="2022-12-16T00:00:00"/>
    <x v="0"/>
    <n v="3.49"/>
    <n v="630.37"/>
    <s v="Online "/>
    <x v="0"/>
    <s v="Joao Silva"/>
    <s v="Lisbon"/>
    <s v="Friday"/>
    <n v="2199.9913000000001"/>
    <s v="2022"/>
  </r>
  <r>
    <n v="10648"/>
    <d v="2022-12-16T00:00:00"/>
    <x v="1"/>
    <n v="2.95"/>
    <n v="745.76"/>
    <s v="Online "/>
    <x v="0"/>
    <s v="Joao Silva"/>
    <s v="Lisbon"/>
    <s v="Friday"/>
    <n v="2199.9920000000002"/>
    <s v="2022"/>
  </r>
  <r>
    <n v="10649"/>
    <d v="2022-12-16T00:00:00"/>
    <x v="2"/>
    <n v="4.99"/>
    <n v="200.4"/>
    <s v="Online "/>
    <x v="0"/>
    <s v="Joao Silva"/>
    <s v="Lisbon"/>
    <s v="Friday"/>
    <n v="999.99600000000009"/>
    <s v="2022"/>
  </r>
  <r>
    <n v="10650"/>
    <d v="2022-12-17T00:00:00"/>
    <x v="3"/>
    <n v="12.99"/>
    <n v="585.07000000000005"/>
    <s v="Online "/>
    <x v="0"/>
    <s v="Joao Silva"/>
    <s v="Lisbon"/>
    <s v="Saturday"/>
    <n v="7600.0593000000008"/>
    <s v="2022"/>
  </r>
  <r>
    <n v="10651"/>
    <d v="2022-12-17T00:00:00"/>
    <x v="4"/>
    <n v="9.9499999999999993"/>
    <n v="221.11"/>
    <s v="Online "/>
    <x v="0"/>
    <s v="Joao Silva"/>
    <s v="Lisbon"/>
    <s v="Saturday"/>
    <n v="2200.0445"/>
    <s v="2022"/>
  </r>
  <r>
    <n v="10652"/>
    <d v="2022-12-17T00:00:00"/>
    <x v="0"/>
    <n v="3.49"/>
    <n v="687.68"/>
    <s v="Online "/>
    <x v="0"/>
    <s v="Joao Silva"/>
    <s v="Lisbon"/>
    <s v="Saturday"/>
    <n v="2400.0032000000001"/>
    <s v="2022"/>
  </r>
  <r>
    <n v="10653"/>
    <d v="2022-12-17T00:00:00"/>
    <x v="1"/>
    <n v="2.95"/>
    <n v="745.76"/>
    <s v="Online "/>
    <x v="0"/>
    <s v="Joao Silva"/>
    <s v="Lisbon"/>
    <s v="Saturday"/>
    <n v="2199.9920000000002"/>
    <s v="2022"/>
  </r>
  <r>
    <n v="10654"/>
    <d v="2022-12-17T00:00:00"/>
    <x v="2"/>
    <n v="4.99"/>
    <n v="200.4"/>
    <s v="Online "/>
    <x v="0"/>
    <s v="Joao Silva"/>
    <s v="Lisbon"/>
    <s v="Saturday"/>
    <n v="999.99600000000009"/>
    <s v="2022"/>
  </r>
  <r>
    <n v="10655"/>
    <d v="2022-12-18T00:00:00"/>
    <x v="3"/>
    <n v="12.99"/>
    <n v="600.46"/>
    <s v="Online "/>
    <x v="0"/>
    <s v="Joao Silva"/>
    <s v="Lisbon"/>
    <s v="Sunday"/>
    <n v="7799.9754000000003"/>
    <s v="2022"/>
  </r>
  <r>
    <n v="10656"/>
    <d v="2022-12-18T00:00:00"/>
    <x v="4"/>
    <n v="9.9499999999999993"/>
    <n v="221.11"/>
    <s v="Online "/>
    <x v="0"/>
    <s v="Joao Silva"/>
    <s v="Lisbon"/>
    <s v="Sunday"/>
    <n v="2200.0445"/>
    <s v="2022"/>
  </r>
  <r>
    <n v="10657"/>
    <d v="2022-12-18T00:00:00"/>
    <x v="0"/>
    <n v="3.49"/>
    <n v="687.68"/>
    <s v="Online "/>
    <x v="0"/>
    <s v="Joao Silva"/>
    <s v="Lisbon"/>
    <s v="Sunday"/>
    <n v="2400.0032000000001"/>
    <s v="2022"/>
  </r>
  <r>
    <n v="10658"/>
    <d v="2022-12-18T00:00:00"/>
    <x v="1"/>
    <n v="2.95"/>
    <n v="745.76"/>
    <s v="Online "/>
    <x v="2"/>
    <s v="Joao Silva"/>
    <s v="Lisbon"/>
    <s v="Sunday"/>
    <n v="2199.9920000000002"/>
    <s v="2022"/>
  </r>
  <r>
    <n v="10659"/>
    <d v="2022-12-18T00:00:00"/>
    <x v="2"/>
    <n v="4.99"/>
    <n v="200.4"/>
    <s v="Online "/>
    <x v="2"/>
    <s v="Joao Silva"/>
    <s v="Lisbon"/>
    <s v="Sunday"/>
    <n v="999.99600000000009"/>
    <s v="2022"/>
  </r>
  <r>
    <n v="10660"/>
    <d v="2022-12-19T00:00:00"/>
    <x v="3"/>
    <n v="12.99"/>
    <n v="631.25"/>
    <s v="In-store "/>
    <x v="2"/>
    <s v="Joao Silva"/>
    <s v="Lisbon"/>
    <s v="Monday"/>
    <n v="8199.9375"/>
    <s v="2022"/>
  </r>
  <r>
    <n v="10661"/>
    <d v="2022-12-19T00:00:00"/>
    <x v="4"/>
    <n v="9.9499999999999993"/>
    <n v="221.11"/>
    <s v="In-store "/>
    <x v="2"/>
    <s v="Joao Silva"/>
    <s v="Lisbon"/>
    <s v="Monday"/>
    <n v="2200.0445"/>
    <s v="2022"/>
  </r>
  <r>
    <n v="10662"/>
    <d v="2022-12-19T00:00:00"/>
    <x v="0"/>
    <n v="3.49"/>
    <n v="630.37"/>
    <s v="In-store "/>
    <x v="2"/>
    <s v="Joao Silva"/>
    <s v="Lisbon"/>
    <s v="Monday"/>
    <n v="2199.9913000000001"/>
    <s v="2022"/>
  </r>
  <r>
    <n v="10663"/>
    <d v="2022-12-19T00:00:00"/>
    <x v="1"/>
    <n v="2.95"/>
    <n v="745.76"/>
    <s v="In-store "/>
    <x v="2"/>
    <s v="Joao Silva"/>
    <s v="Lisbon"/>
    <s v="Monday"/>
    <n v="2199.9920000000002"/>
    <s v="2022"/>
  </r>
  <r>
    <n v="10664"/>
    <d v="2022-12-19T00:00:00"/>
    <x v="2"/>
    <n v="4.99"/>
    <n v="200.4"/>
    <s v="In-store "/>
    <x v="2"/>
    <s v="Joao Silva"/>
    <s v="Lisbon"/>
    <s v="Monday"/>
    <n v="999.99600000000009"/>
    <s v="2022"/>
  </r>
  <r>
    <n v="10665"/>
    <d v="2022-12-20T00:00:00"/>
    <x v="3"/>
    <n v="12.99"/>
    <n v="646.65"/>
    <s v="In-store "/>
    <x v="2"/>
    <s v="Joao Silva"/>
    <s v="Lisbon"/>
    <s v="Tuesday"/>
    <n v="8399.9835000000003"/>
    <s v="2022"/>
  </r>
  <r>
    <n v="10666"/>
    <d v="2022-12-20T00:00:00"/>
    <x v="4"/>
    <n v="9.9499999999999993"/>
    <n v="221.11"/>
    <s v="In-store "/>
    <x v="2"/>
    <s v="Joao Silva"/>
    <s v="Lisbon"/>
    <s v="Tuesday"/>
    <n v="2200.0445"/>
    <s v="2022"/>
  </r>
  <r>
    <n v="10667"/>
    <d v="2022-12-20T00:00:00"/>
    <x v="0"/>
    <n v="3.49"/>
    <n v="630.37"/>
    <s v="In-store "/>
    <x v="2"/>
    <s v="Joao Silva"/>
    <s v="Lisbon"/>
    <s v="Tuesday"/>
    <n v="2199.9913000000001"/>
    <s v="2022"/>
  </r>
  <r>
    <n v="10668"/>
    <d v="2022-12-20T00:00:00"/>
    <x v="1"/>
    <n v="2.95"/>
    <n v="745.76"/>
    <s v="In-store "/>
    <x v="2"/>
    <s v="Joao Silva"/>
    <s v="Lisbon"/>
    <s v="Tuesday"/>
    <n v="2199.9920000000002"/>
    <s v="2022"/>
  </r>
  <r>
    <n v="10669"/>
    <d v="2022-12-20T00:00:00"/>
    <x v="2"/>
    <n v="4.99"/>
    <n v="200.4"/>
    <s v="In-store "/>
    <x v="2"/>
    <s v="Joao Silva"/>
    <s v="Lisbon"/>
    <s v="Tuesday"/>
    <n v="999.99600000000009"/>
    <s v="2022"/>
  </r>
  <r>
    <n v="10670"/>
    <d v="2022-12-21T00:00:00"/>
    <x v="3"/>
    <n v="12.99"/>
    <n v="677.44"/>
    <s v="In-store "/>
    <x v="2"/>
    <s v="Joao Silva"/>
    <s v="Lisbon"/>
    <s v="Wednesday"/>
    <n v="8799.9456000000009"/>
    <s v="2022"/>
  </r>
  <r>
    <n v="10671"/>
    <d v="2022-12-21T00:00:00"/>
    <x v="4"/>
    <n v="9.9499999999999993"/>
    <n v="221.11"/>
    <s v="In-store "/>
    <x v="2"/>
    <s v="Joao Silva"/>
    <s v="Lisbon"/>
    <s v="Wednesday"/>
    <n v="2200.0445"/>
    <s v="2022"/>
  </r>
  <r>
    <n v="10672"/>
    <d v="2022-12-21T00:00:00"/>
    <x v="0"/>
    <n v="3.49"/>
    <n v="630.37"/>
    <s v="In-store "/>
    <x v="2"/>
    <s v="Joao Silva"/>
    <s v="Lisbon"/>
    <s v="Wednesday"/>
    <n v="2199.9913000000001"/>
    <s v="2022"/>
  </r>
  <r>
    <n v="10673"/>
    <d v="2022-12-21T00:00:00"/>
    <x v="1"/>
    <n v="2.95"/>
    <n v="745.76"/>
    <s v="In-store "/>
    <x v="2"/>
    <s v="Joao Silva"/>
    <s v="Lisbon"/>
    <s v="Wednesday"/>
    <n v="2199.9920000000002"/>
    <s v="2022"/>
  </r>
  <r>
    <n v="10674"/>
    <d v="2022-12-21T00:00:00"/>
    <x v="2"/>
    <n v="4.99"/>
    <n v="200.4"/>
    <s v="In-store "/>
    <x v="2"/>
    <s v="Joao Silva"/>
    <s v="Lisbon"/>
    <s v="Wednesday"/>
    <n v="999.99600000000009"/>
    <s v="2022"/>
  </r>
  <r>
    <n v="10675"/>
    <d v="2022-12-22T00:00:00"/>
    <x v="3"/>
    <n v="12.99"/>
    <n v="677.44"/>
    <s v="In-store "/>
    <x v="2"/>
    <s v="Joao Silva"/>
    <s v="Lisbon"/>
    <s v="Thursday"/>
    <n v="8799.9456000000009"/>
    <s v="2022"/>
  </r>
  <r>
    <n v="10676"/>
    <d v="2022-12-22T00:00:00"/>
    <x v="4"/>
    <n v="9.9499999999999993"/>
    <n v="241.21"/>
    <s v="In-store "/>
    <x v="2"/>
    <s v="Joao Silva"/>
    <s v="Lisbon"/>
    <s v="Thursday"/>
    <n v="2400.0394999999999"/>
    <s v="2022"/>
  </r>
  <r>
    <n v="10677"/>
    <d v="2022-12-22T00:00:00"/>
    <x v="0"/>
    <n v="3.49"/>
    <n v="630.37"/>
    <s v="In-store "/>
    <x v="2"/>
    <s v="Joao Silva"/>
    <s v="Lisbon"/>
    <s v="Thursday"/>
    <n v="2199.9913000000001"/>
    <s v="2022"/>
  </r>
  <r>
    <n v="10678"/>
    <d v="2022-12-22T00:00:00"/>
    <x v="1"/>
    <n v="2.95"/>
    <n v="745.76"/>
    <s v="In-store "/>
    <x v="2"/>
    <s v="Joao Silva"/>
    <s v="Lisbon"/>
    <s v="Thursday"/>
    <n v="2199.9920000000002"/>
    <s v="2022"/>
  </r>
  <r>
    <n v="10679"/>
    <d v="2022-12-22T00:00:00"/>
    <x v="2"/>
    <n v="4.99"/>
    <n v="200.4"/>
    <s v="In-store "/>
    <x v="2"/>
    <s v="Joao Silva"/>
    <s v="Lisbon"/>
    <s v="Thursday"/>
    <n v="999.99600000000009"/>
    <s v="2022"/>
  </r>
  <r>
    <n v="10680"/>
    <d v="2022-12-23T00:00:00"/>
    <x v="3"/>
    <n v="12.99"/>
    <n v="646.65"/>
    <s v="In-store "/>
    <x v="2"/>
    <s v="Joao Silva"/>
    <s v="Lisbon"/>
    <s v="Friday"/>
    <n v="8399.9835000000003"/>
    <s v="2022"/>
  </r>
  <r>
    <n v="10681"/>
    <d v="2022-12-23T00:00:00"/>
    <x v="4"/>
    <n v="9.9499999999999993"/>
    <n v="241.21"/>
    <s v="In-store "/>
    <x v="2"/>
    <s v="Joao Silva"/>
    <s v="Lisbon"/>
    <s v="Friday"/>
    <n v="2400.0394999999999"/>
    <s v="2022"/>
  </r>
  <r>
    <n v="10682"/>
    <d v="2022-12-23T00:00:00"/>
    <x v="0"/>
    <n v="3.49"/>
    <n v="630.37"/>
    <s v="In-store "/>
    <x v="2"/>
    <s v="Joao Silva"/>
    <s v="Lisbon"/>
    <s v="Friday"/>
    <n v="2199.9913000000001"/>
    <s v="2022"/>
  </r>
  <r>
    <n v="10683"/>
    <d v="2022-12-23T00:00:00"/>
    <x v="1"/>
    <n v="2.95"/>
    <n v="677.97"/>
    <s v="In-store "/>
    <x v="2"/>
    <s v="Joao Silva"/>
    <s v="Lisbon"/>
    <s v="Friday"/>
    <n v="2000.0115000000003"/>
    <s v="2022"/>
  </r>
  <r>
    <n v="10684"/>
    <d v="2022-12-23T00:00:00"/>
    <x v="2"/>
    <n v="4.99"/>
    <n v="200.4"/>
    <s v="In-store "/>
    <x v="2"/>
    <s v="Joao Silva"/>
    <s v="Lisbon"/>
    <s v="Friday"/>
    <n v="999.99600000000009"/>
    <s v="2022"/>
  </r>
  <r>
    <n v="10685"/>
    <d v="2022-12-24T00:00:00"/>
    <x v="3"/>
    <n v="12.99"/>
    <n v="677.44"/>
    <s v="In-store "/>
    <x v="2"/>
    <s v="Joao Silva"/>
    <s v="Lisbon"/>
    <s v="Saturday"/>
    <n v="8799.9456000000009"/>
    <s v="2022"/>
  </r>
  <r>
    <n v="10686"/>
    <d v="2022-12-24T00:00:00"/>
    <x v="4"/>
    <n v="9.9499999999999993"/>
    <n v="241.21"/>
    <s v="In-store "/>
    <x v="2"/>
    <s v="Joao Silva"/>
    <s v="Lisbon"/>
    <s v="Saturday"/>
    <n v="2400.0394999999999"/>
    <s v="2022"/>
  </r>
  <r>
    <n v="10687"/>
    <d v="2022-12-24T00:00:00"/>
    <x v="0"/>
    <n v="3.49"/>
    <n v="630.37"/>
    <s v="In-store "/>
    <x v="2"/>
    <s v="Walter Muller"/>
    <s v="Berlin"/>
    <s v="Saturday"/>
    <n v="2199.9913000000001"/>
    <s v="2022"/>
  </r>
  <r>
    <n v="10688"/>
    <d v="2022-12-24T00:00:00"/>
    <x v="1"/>
    <n v="2.95"/>
    <n v="677.97"/>
    <s v="In-store "/>
    <x v="2"/>
    <s v="Walter Muller"/>
    <s v="Berlin"/>
    <s v="Saturday"/>
    <n v="2000.0115000000003"/>
    <s v="2022"/>
  </r>
  <r>
    <n v="10689"/>
    <d v="2022-12-24T00:00:00"/>
    <x v="2"/>
    <n v="4.99"/>
    <n v="200.4"/>
    <s v="In-store "/>
    <x v="2"/>
    <s v="Walter Muller"/>
    <s v="Berlin"/>
    <s v="Saturday"/>
    <n v="999.99600000000009"/>
    <s v="2022"/>
  </r>
  <r>
    <n v="10690"/>
    <d v="2022-12-25T00:00:00"/>
    <x v="3"/>
    <n v="12.99"/>
    <n v="677.44"/>
    <s v="In-store "/>
    <x v="2"/>
    <s v="Walter Muller"/>
    <s v="Berlin"/>
    <s v="Sunday"/>
    <n v="8799.9456000000009"/>
    <s v="2022"/>
  </r>
  <r>
    <n v="10691"/>
    <d v="2022-12-25T00:00:00"/>
    <x v="4"/>
    <n v="9.9499999999999993"/>
    <n v="261.31"/>
    <s v="In-store "/>
    <x v="2"/>
    <s v="Walter Muller"/>
    <s v="Berlin"/>
    <s v="Sunday"/>
    <n v="2600.0344999999998"/>
    <s v="2022"/>
  </r>
  <r>
    <n v="10692"/>
    <d v="2022-12-25T00:00:00"/>
    <x v="0"/>
    <n v="3.49"/>
    <n v="630.37"/>
    <s v="In-store "/>
    <x v="2"/>
    <s v="Walter Muller"/>
    <s v="Berlin"/>
    <s v="Sunday"/>
    <n v="2199.9913000000001"/>
    <s v="2022"/>
  </r>
  <r>
    <n v="10693"/>
    <d v="2022-12-25T00:00:00"/>
    <x v="1"/>
    <n v="2.95"/>
    <n v="677.97"/>
    <s v="In-store "/>
    <x v="2"/>
    <s v="Walter Muller"/>
    <s v="Berlin"/>
    <s v="Sunday"/>
    <n v="2000.0115000000003"/>
    <s v="2022"/>
  </r>
  <r>
    <n v="10694"/>
    <d v="2022-12-25T00:00:00"/>
    <x v="2"/>
    <n v="4.99"/>
    <n v="200.4"/>
    <s v="In-store "/>
    <x v="2"/>
    <s v="Walter Muller"/>
    <s v="Berlin"/>
    <s v="Sunday"/>
    <n v="999.99600000000009"/>
    <s v="2022"/>
  </r>
  <r>
    <n v="10695"/>
    <d v="2022-12-26T00:00:00"/>
    <x v="3"/>
    <n v="12.99"/>
    <n v="692.84"/>
    <s v="In-store "/>
    <x v="2"/>
    <s v="Walter Muller"/>
    <s v="Berlin"/>
    <s v="Monday"/>
    <n v="8999.9916000000012"/>
    <s v="2022"/>
  </r>
  <r>
    <n v="10696"/>
    <d v="2022-12-26T00:00:00"/>
    <x v="4"/>
    <n v="9.9499999999999993"/>
    <n v="281.41000000000003"/>
    <s v="In-store "/>
    <x v="2"/>
    <s v="Walter Muller"/>
    <s v="Berlin"/>
    <s v="Monday"/>
    <n v="2800.0295000000001"/>
    <s v="2022"/>
  </r>
  <r>
    <n v="10697"/>
    <d v="2022-12-26T00:00:00"/>
    <x v="0"/>
    <n v="3.49"/>
    <n v="630.37"/>
    <s v="In-store "/>
    <x v="2"/>
    <s v="Walter Muller"/>
    <s v="Berlin"/>
    <s v="Monday"/>
    <n v="2199.9913000000001"/>
    <s v="2022"/>
  </r>
  <r>
    <n v="10698"/>
    <d v="2022-12-26T00:00:00"/>
    <x v="1"/>
    <n v="2.95"/>
    <n v="677.97"/>
    <s v="In-store "/>
    <x v="2"/>
    <s v="Walter Muller"/>
    <s v="Berlin"/>
    <s v="Monday"/>
    <n v="2000.0115000000003"/>
    <s v="2022"/>
  </r>
  <r>
    <n v="10699"/>
    <d v="2022-12-26T00:00:00"/>
    <x v="2"/>
    <n v="4.99"/>
    <n v="200.4"/>
    <s v="In-store "/>
    <x v="2"/>
    <s v="Walter Muller"/>
    <s v="Berlin"/>
    <s v="Monday"/>
    <n v="999.99600000000009"/>
    <s v="2022"/>
  </r>
  <r>
    <n v="10700"/>
    <d v="2022-12-27T00:00:00"/>
    <x v="3"/>
    <n v="12.99"/>
    <n v="692.84"/>
    <s v="In-store "/>
    <x v="2"/>
    <s v="Walter Muller"/>
    <s v="Berlin"/>
    <s v="Tuesday"/>
    <n v="8999.9916000000012"/>
    <s v="2022"/>
  </r>
  <r>
    <n v="10701"/>
    <d v="2022-12-27T00:00:00"/>
    <x v="4"/>
    <n v="9.9499999999999993"/>
    <n v="281.41000000000003"/>
    <s v="In-store "/>
    <x v="2"/>
    <s v="Walter Muller"/>
    <s v="Berlin"/>
    <s v="Tuesday"/>
    <n v="2800.0295000000001"/>
    <s v="2022"/>
  </r>
  <r>
    <n v="10702"/>
    <d v="2022-12-27T00:00:00"/>
    <x v="0"/>
    <n v="3.49"/>
    <n v="630.37"/>
    <s v="In-store "/>
    <x v="2"/>
    <s v="Walter Muller"/>
    <s v="Berlin"/>
    <s v="Tuesday"/>
    <n v="2199.9913000000001"/>
    <s v="2022"/>
  </r>
  <r>
    <n v="10703"/>
    <d v="2022-12-27T00:00:00"/>
    <x v="1"/>
    <n v="2.95"/>
    <n v="677.97"/>
    <s v="In-store "/>
    <x v="0"/>
    <s v="Walter Muller"/>
    <s v="Berlin"/>
    <s v="Tuesday"/>
    <n v="2000.0115000000003"/>
    <s v="2022"/>
  </r>
  <r>
    <n v="10704"/>
    <d v="2022-12-27T00:00:00"/>
    <x v="2"/>
    <n v="4.99"/>
    <n v="200.4"/>
    <s v="Drive-thru "/>
    <x v="0"/>
    <s v="Walter Muller"/>
    <s v="Berlin"/>
    <s v="Tuesday"/>
    <n v="999.99600000000009"/>
    <s v="2022"/>
  </r>
  <r>
    <n v="10705"/>
    <d v="2022-12-28T00:00:00"/>
    <x v="3"/>
    <n v="12.99"/>
    <n v="723.63"/>
    <s v="Drive-thru "/>
    <x v="0"/>
    <s v="Walter Muller"/>
    <s v="Berlin"/>
    <s v="Wednesday"/>
    <n v="9399.9537"/>
    <s v="2022"/>
  </r>
  <r>
    <n v="10706"/>
    <d v="2022-12-28T00:00:00"/>
    <x v="4"/>
    <n v="9.9499999999999993"/>
    <n v="301.51"/>
    <s v="Drive-thru "/>
    <x v="0"/>
    <s v="Walter Muller"/>
    <s v="Berlin"/>
    <s v="Wednesday"/>
    <n v="3000.0244999999995"/>
    <s v="2022"/>
  </r>
  <r>
    <n v="10707"/>
    <d v="2022-12-28T00:00:00"/>
    <x v="0"/>
    <n v="3.49"/>
    <n v="630.37"/>
    <s v="Drive-thru "/>
    <x v="0"/>
    <s v="Walter Muller"/>
    <s v="Berlin"/>
    <s v="Wednesday"/>
    <n v="2199.9913000000001"/>
    <s v="2022"/>
  </r>
  <r>
    <n v="10708"/>
    <d v="2022-12-28T00:00:00"/>
    <x v="1"/>
    <n v="2.95"/>
    <n v="677.97"/>
    <s v="Drive-thru "/>
    <x v="0"/>
    <s v="Walter Muller"/>
    <s v="Berlin"/>
    <s v="Wednesday"/>
    <n v="2000.0115000000003"/>
    <s v="2022"/>
  </r>
  <r>
    <n v="10709"/>
    <d v="2022-12-28T00:00:00"/>
    <x v="2"/>
    <n v="4.99"/>
    <n v="200.4"/>
    <s v="Drive-thru "/>
    <x v="0"/>
    <s v="Walter Muller"/>
    <s v="Berlin"/>
    <s v="Wednesday"/>
    <n v="999.99600000000009"/>
    <s v="2022"/>
  </r>
  <r>
    <n v="10710"/>
    <d v="2022-12-29T00:00:00"/>
    <x v="3"/>
    <n v="12.99"/>
    <n v="754.43"/>
    <s v="Drive-thru "/>
    <x v="0"/>
    <s v="Walter Muller"/>
    <s v="Berlin"/>
    <s v="Thursday"/>
    <n v="9800.0456999999988"/>
    <s v="2022"/>
  </r>
  <r>
    <n v="10711"/>
    <d v="2022-12-29T00:00:00"/>
    <x v="4"/>
    <n v="9.9499999999999993"/>
    <n v="281.41000000000003"/>
    <s v="Drive-thru "/>
    <x v="0"/>
    <s v="Walter Muller"/>
    <s v="Berlin"/>
    <s v="Thursday"/>
    <n v="2800.0295000000001"/>
    <s v="2022"/>
  </r>
  <r>
    <n v="10712"/>
    <d v="2022-12-29T00:00:00"/>
    <x v="0"/>
    <n v="3.49"/>
    <n v="630.37"/>
    <s v="Drive-thru "/>
    <x v="0"/>
    <s v="Walter Muller"/>
    <s v="Berlin"/>
    <s v="Thursday"/>
    <n v="2199.9913000000001"/>
    <s v="2022"/>
  </r>
  <r>
    <n v="10713"/>
    <d v="2022-12-29T00:00:00"/>
    <x v="1"/>
    <n v="2.95"/>
    <n v="677.97"/>
    <s v="Drive-thru "/>
    <x v="0"/>
    <s v="Walter Muller"/>
    <s v="Berlin"/>
    <s v="Thursday"/>
    <n v="2000.0115000000003"/>
    <s v="2022"/>
  </r>
  <r>
    <m/>
    <m/>
    <x v="5"/>
    <m/>
    <m/>
    <m/>
    <x v="3"/>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43B92-D111-45C5-8440-0180A3B96627}"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2">
    <pivotField showAll="0"/>
    <pivotField showAll="0"/>
    <pivotField axis="axisRow" showAll="0">
      <items count="7">
        <item x="1"/>
        <item x="3"/>
        <item x="4"/>
        <item x="0"/>
        <item x="2"/>
        <item x="5"/>
        <item t="default"/>
      </items>
    </pivotField>
    <pivotField dataField="1" showAll="0"/>
    <pivotField showAll="0"/>
    <pivotField showAll="0"/>
    <pivotField showAll="0">
      <items count="5">
        <item h="1" x="2"/>
        <item h="1" x="1"/>
        <item x="0"/>
        <item h="1" x="3"/>
        <item t="default"/>
      </items>
    </pivotField>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Max of Price" fld="3" subtotal="max" baseField="2"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7E2185-17D2-45AA-B53D-1FE63DD9300E}"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5:D86" firstHeaderRow="0" firstDataRow="1" firstDataCol="0"/>
  <pivotFields count="12">
    <pivotField dataField="1" showAll="0"/>
    <pivotField showAll="0"/>
    <pivotField showAll="0"/>
    <pivotField dataField="1" showAll="0"/>
    <pivotField showAll="0"/>
    <pivotField showAll="0"/>
    <pivotField showAll="0"/>
    <pivotField showAll="0"/>
    <pivotField showAll="0"/>
    <pivotField showAll="0"/>
    <pivotField dataField="1" showAll="0"/>
    <pivotField showAll="0"/>
  </pivotFields>
  <rowItems count="1">
    <i/>
  </rowItems>
  <colFields count="1">
    <field x="-2"/>
  </colFields>
  <colItems count="3">
    <i>
      <x/>
    </i>
    <i i="1">
      <x v="1"/>
    </i>
    <i i="2">
      <x v="2"/>
    </i>
  </colItems>
  <dataFields count="3">
    <dataField name="Average of Revenue" fld="10" subtotal="average" baseField="0" baseItem="1" numFmtId="1"/>
    <dataField name="Count of Order ID" fld="0" subtotal="count" baseField="0" baseItem="0"/>
    <dataField name="Max of Price" fld="3" subtotal="max" baseField="0" baseItem="1"/>
  </dataFields>
  <formats count="1">
    <format dxfId="2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BEE9D0-8A7E-46D5-B43E-9937191C2E2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2:P9" firstHeaderRow="1" firstDataRow="1" firstDataCol="1"/>
  <pivotFields count="12">
    <pivotField showAll="0"/>
    <pivotField showAll="0"/>
    <pivotField axis="axisRow" showAll="0">
      <items count="7">
        <item x="1"/>
        <item x="3"/>
        <item x="4"/>
        <item x="0"/>
        <item x="2"/>
        <item x="5"/>
        <item t="default"/>
      </items>
    </pivotField>
    <pivotField dataField="1" showAll="0"/>
    <pivotField showAll="0"/>
    <pivotField showAll="0"/>
    <pivotField showAll="0">
      <items count="5">
        <item h="1" x="2"/>
        <item h="1" x="1"/>
        <item x="0"/>
        <item h="1" x="3"/>
        <item t="default"/>
      </items>
    </pivotField>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Price"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5AA338-7241-4C6C-8E28-3803212CB1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58:C63" firstHeaderRow="1" firstDataRow="1" firstDataCol="1"/>
  <pivotFields count="11">
    <pivotField showAll="0"/>
    <pivotField showAll="0"/>
    <pivotField showAll="0"/>
    <pivotField showAll="0"/>
    <pivotField showAll="0"/>
    <pivotField showAll="0">
      <items count="5">
        <item x="2"/>
        <item x="1"/>
        <item x="0"/>
        <item x="3"/>
        <item t="default"/>
      </items>
    </pivotField>
    <pivotField axis="axisRow" showAll="0">
      <items count="5">
        <item x="2"/>
        <item x="1"/>
        <item x="0"/>
        <item x="3"/>
        <item t="default"/>
      </items>
    </pivotField>
    <pivotField showAll="0"/>
    <pivotField showAll="0"/>
    <pivotField showAll="0"/>
    <pivotField dataField="1" showAll="0"/>
  </pivotFields>
  <rowFields count="1">
    <field x="6"/>
  </rowFields>
  <rowItems count="5">
    <i>
      <x/>
    </i>
    <i>
      <x v="1"/>
    </i>
    <i>
      <x v="2"/>
    </i>
    <i>
      <x v="3"/>
    </i>
    <i t="grand">
      <x/>
    </i>
  </rowItems>
  <colItems count="1">
    <i/>
  </colItems>
  <dataFields count="1">
    <dataField name="Sum of Revenue" fld="10" baseField="0" baseItem="0"/>
  </dataFields>
  <formats count="2">
    <format dxfId="27">
      <pivotArea collapsedLevelsAreSubtotals="1" fieldPosition="0">
        <references count="1">
          <reference field="6" count="0"/>
        </references>
      </pivotArea>
    </format>
    <format dxfId="26">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5" format="9">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20328A-C801-49A3-9413-CD28967230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1:C47" firstHeaderRow="1" firstDataRow="1" firstDataCol="1"/>
  <pivotFields count="11">
    <pivotField showAll="0"/>
    <pivotField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showAll="0"/>
    <pivotField showAll="0"/>
    <pivotField showAll="0"/>
    <pivotField showAll="0">
      <items count="5">
        <item x="2"/>
        <item x="1"/>
        <item x="0"/>
        <item x="3"/>
        <item t="default"/>
      </items>
    </pivotField>
    <pivotField showAll="0">
      <items count="5">
        <item x="2"/>
        <item x="1"/>
        <item x="0"/>
        <item x="3"/>
        <item t="default"/>
      </items>
    </pivotField>
    <pivotField showAll="0"/>
    <pivotField axis="axisRow" showAll="0">
      <items count="7">
        <item x="3"/>
        <item x="2"/>
        <item x="0"/>
        <item x="1"/>
        <item x="4"/>
        <item h="1" x="5"/>
        <item t="default"/>
      </items>
    </pivotField>
    <pivotField showAll="0"/>
    <pivotField dataField="1" showAll="0"/>
  </pivotFields>
  <rowFields count="1">
    <field x="8"/>
  </rowFields>
  <rowItems count="6">
    <i>
      <x/>
    </i>
    <i>
      <x v="1"/>
    </i>
    <i>
      <x v="2"/>
    </i>
    <i>
      <x v="3"/>
    </i>
    <i>
      <x v="4"/>
    </i>
    <i t="grand">
      <x/>
    </i>
  </rowItems>
  <colItems count="1">
    <i/>
  </colItems>
  <dataFields count="1">
    <dataField name="Sum of Revenue" fld="10" baseField="0" baseItem="0"/>
  </dataFields>
  <formats count="2">
    <format dxfId="28">
      <pivotArea collapsedLevelsAreSubtotals="1" fieldPosition="0">
        <references count="1">
          <reference field="8" count="0"/>
        </references>
      </pivotArea>
    </format>
    <format dxfId="2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E87AD6-9C77-458F-8601-4F8E28261E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0:C26" firstHeaderRow="1" firstDataRow="1" firstDataCol="1"/>
  <pivotFields count="11">
    <pivotField showAll="0"/>
    <pivotField showAll="0"/>
    <pivotField axis="axisRow" showAll="0">
      <items count="7">
        <item x="1"/>
        <item x="3"/>
        <item x="4"/>
        <item x="0"/>
        <item x="2"/>
        <item h="1" x="5"/>
        <item t="default"/>
      </items>
    </pivotField>
    <pivotField showAll="0"/>
    <pivotField showAll="0"/>
    <pivotField showAll="0">
      <items count="5">
        <item x="2"/>
        <item x="1"/>
        <item x="0"/>
        <item x="3"/>
        <item t="default"/>
      </items>
    </pivotField>
    <pivotField showAll="0">
      <items count="5">
        <item x="2"/>
        <item x="1"/>
        <item x="0"/>
        <item x="3"/>
        <item t="default"/>
      </items>
    </pivotField>
    <pivotField showAll="0"/>
    <pivotField showAll="0"/>
    <pivotField showAll="0"/>
    <pivotField dataField="1" showAll="0">
      <items count="33">
        <item x="2"/>
        <item x="6"/>
        <item x="0"/>
        <item x="4"/>
        <item x="7"/>
        <item x="1"/>
        <item x="19"/>
        <item x="13"/>
        <item x="24"/>
        <item x="25"/>
        <item x="27"/>
        <item x="29"/>
        <item x="17"/>
        <item x="11"/>
        <item x="16"/>
        <item x="14"/>
        <item x="15"/>
        <item x="9"/>
        <item x="8"/>
        <item x="12"/>
        <item x="5"/>
        <item x="3"/>
        <item x="18"/>
        <item x="20"/>
        <item x="21"/>
        <item x="22"/>
        <item x="23"/>
        <item x="26"/>
        <item x="28"/>
        <item x="30"/>
        <item x="10"/>
        <item x="31"/>
        <item t="default"/>
      </items>
    </pivotField>
  </pivotFields>
  <rowFields count="1">
    <field x="2"/>
  </rowFields>
  <rowItems count="6">
    <i>
      <x/>
    </i>
    <i>
      <x v="1"/>
    </i>
    <i>
      <x v="2"/>
    </i>
    <i>
      <x v="3"/>
    </i>
    <i>
      <x v="4"/>
    </i>
    <i t="grand">
      <x/>
    </i>
  </rowItems>
  <colItems count="1">
    <i/>
  </colItems>
  <dataFields count="1">
    <dataField name="Sum of Revenue" fld="10" baseField="0" baseItem="0"/>
  </dataFields>
  <formats count="1">
    <format dxfId="29">
      <pivotArea collapsedLevelsAreSubtotals="1" fieldPosition="0">
        <references count="1">
          <reference field="2" count="0"/>
        </references>
      </pivotArea>
    </format>
  </format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07464A-B8CA-4A73-9441-128DBE92B7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4:C12" firstHeaderRow="1" firstDataRow="1" firstDataCol="1"/>
  <pivotFields count="11">
    <pivotField showAll="0"/>
    <pivotField showAll="0"/>
    <pivotField showAll="0"/>
    <pivotField showAll="0"/>
    <pivotField showAll="0"/>
    <pivotField showAll="0">
      <items count="5">
        <item x="2"/>
        <item x="1"/>
        <item x="0"/>
        <item x="3"/>
        <item t="default"/>
      </items>
    </pivotField>
    <pivotField showAll="0">
      <items count="5">
        <item x="2"/>
        <item x="1"/>
        <item x="0"/>
        <item x="3"/>
        <item t="default"/>
      </items>
    </pivotField>
    <pivotField showAll="0"/>
    <pivotField showAll="0"/>
    <pivotField axis="axisRow" showAll="0">
      <items count="9">
        <item x="6"/>
        <item x="0"/>
        <item x="1"/>
        <item x="2"/>
        <item x="3"/>
        <item x="4"/>
        <item x="5"/>
        <item h="1" x="7"/>
        <item t="default"/>
      </items>
    </pivotField>
    <pivotField dataField="1" showAll="0"/>
  </pivotFields>
  <rowFields count="1">
    <field x="9"/>
  </rowFields>
  <rowItems count="8">
    <i>
      <x/>
    </i>
    <i>
      <x v="1"/>
    </i>
    <i>
      <x v="2"/>
    </i>
    <i>
      <x v="3"/>
    </i>
    <i>
      <x v="4"/>
    </i>
    <i>
      <x v="5"/>
    </i>
    <i>
      <x v="6"/>
    </i>
    <i t="grand">
      <x/>
    </i>
  </rowItems>
  <colItems count="1">
    <i/>
  </colItems>
  <dataFields count="1">
    <dataField name="Sum of Revenue" fld="10" baseField="0" baseItem="0"/>
  </dataFields>
  <formats count="1">
    <format dxfId="30">
      <pivotArea collapsedLevelsAreSubtotals="1" fieldPosition="0">
        <references count="1">
          <reference field="9" count="0"/>
        </references>
      </pivotArea>
    </format>
  </formats>
  <chartFormats count="3">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9" count="1" selected="0">
            <x v="6"/>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7ABE95-7C90-4D18-9D1A-083752ECF15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71:C76" firstHeaderRow="1" firstDataRow="1" firstDataCol="1"/>
  <pivotFields count="11">
    <pivotField showAll="0"/>
    <pivotField showAll="0"/>
    <pivotField showAll="0"/>
    <pivotField showAll="0"/>
    <pivotField showAll="0"/>
    <pivotField axis="axisRow" showAll="0">
      <items count="5">
        <item x="2"/>
        <item x="1"/>
        <item x="0"/>
        <item x="3"/>
        <item t="default"/>
      </items>
    </pivotField>
    <pivotField showAll="0">
      <items count="5">
        <item x="2"/>
        <item x="1"/>
        <item x="0"/>
        <item x="3"/>
        <item t="default"/>
      </items>
    </pivotField>
    <pivotField showAll="0"/>
    <pivotField showAll="0"/>
    <pivotField showAll="0"/>
    <pivotField dataField="1" showAll="0"/>
  </pivotFields>
  <rowFields count="1">
    <field x="5"/>
  </rowFields>
  <rowItems count="5">
    <i>
      <x/>
    </i>
    <i>
      <x v="1"/>
    </i>
    <i>
      <x v="2"/>
    </i>
    <i>
      <x v="3"/>
    </i>
    <i t="grand">
      <x/>
    </i>
  </rowItems>
  <colItems count="1">
    <i/>
  </colItems>
  <dataFields count="1">
    <dataField name="Sum of Revenue" fld="10" baseField="0" baseItem="0"/>
  </dataFields>
  <chartFormats count="10">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 chart="6" format="9">
      <pivotArea type="data" outline="0" fieldPosition="0">
        <references count="2">
          <reference field="4294967294" count="1" selected="0">
            <x v="0"/>
          </reference>
          <reference field="5" count="1" selected="0">
            <x v="3"/>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Type" xr10:uid="{CFD66F00-37C8-4D5C-ACFD-85FC89411251}" sourceName="Purchase Type">
  <pivotTables>
    <pivotTable tabId="4" name="PivotTable5"/>
    <pivotTable tabId="4" name="PivotTable2"/>
    <pivotTable tabId="4" name="PivotTable3"/>
    <pivotTable tabId="4" name="PivotTable4"/>
    <pivotTable tabId="4" name="PivotTable6"/>
  </pivotTables>
  <data>
    <tabular pivotCacheId="380715391">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97F3FBC-C46D-4BA4-82E6-D61630456988}" sourceName="Payment Method">
  <pivotTables>
    <pivotTable tabId="4" name="PivotTable5"/>
    <pivotTable tabId="4" name="PivotTable2"/>
    <pivotTable tabId="4" name="PivotTable3"/>
    <pivotTable tabId="4" name="PivotTable4"/>
    <pivotTable tabId="4" name="PivotTable6"/>
  </pivotTables>
  <data>
    <tabular pivotCacheId="380715391">
      <items count="4">
        <i x="2" s="1"/>
        <i x="1"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Type 1" xr10:uid="{FBA87C70-5B77-4844-AC21-40B676057995}" cache="Slicer_Purchase_Type" caption="Purchase Type" style="SlicerStyleLight2" rowHeight="234950"/>
  <slicer name="Payment Method 1" xr10:uid="{68290658-1A22-4DDD-8548-FCF6F38B6F03}" cache="Slicer_Payment_Method" caption="Payment Method"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Type" xr10:uid="{E7035FC3-572C-4D4E-A239-8D0C93B40F65}" cache="Slicer_Purchase_Type" caption="Purchase Type" rowHeight="234950"/>
  <slicer name="Payment Method" xr10:uid="{F27F4AD8-FA3B-4451-8186-7F525C8E9B9E}" cache="Slicer_Payment_Method" caption="Payment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FCF07B-5BE2-409D-93A2-FB0CE2D9B69F}" name="Table1" displayName="Table1" ref="A1:L255" totalsRowShown="0">
  <autoFilter ref="A1:L255" xr:uid="{E1FCF07B-5BE2-409D-93A2-FB0CE2D9B69F}">
    <filterColumn colId="5">
      <filters>
        <filter val="Online"/>
      </filters>
    </filterColumn>
  </autoFilter>
  <tableColumns count="12">
    <tableColumn id="1" xr3:uid="{2A7FC2DD-EE50-4F26-B44B-0E6DB6012CA8}" name="Order ID"/>
    <tableColumn id="2" xr3:uid="{2EFF71DA-C485-4F83-B20B-5F30AA4C7F64}" name="Date" dataDxfId="34"/>
    <tableColumn id="3" xr3:uid="{7525AA39-86EB-43AC-B371-EB909AB92F35}" name="Product"/>
    <tableColumn id="4" xr3:uid="{E3F69344-AB43-4FCB-8BEF-CE5CE4CA34FA}" name="Price"/>
    <tableColumn id="5" xr3:uid="{E3896F5E-F8F2-41FD-946F-E1176B58C8E7}" name="Quantity"/>
    <tableColumn id="6" xr3:uid="{3C7AB2A6-9196-4937-8E50-A4C61FD7D002}" name="Purchase Type"/>
    <tableColumn id="7" xr3:uid="{2AE25398-3930-4868-9D20-E9BBE4A7983D}" name="Payment Method"/>
    <tableColumn id="8" xr3:uid="{8CE046F5-F285-47B4-A9E4-D03782FFCE47}" name="Manager"/>
    <tableColumn id="9" xr3:uid="{97B543BC-667D-4520-A158-3635CA1BE85F}" name="City"/>
    <tableColumn id="10" xr3:uid="{7591E7CA-2870-4292-910F-B547C4F12147}" name="Day" dataDxfId="33">
      <calculatedColumnFormula>TEXT(B2,"dddd")</calculatedColumnFormula>
    </tableColumn>
    <tableColumn id="11" xr3:uid="{415EE3F9-C154-4C49-8736-5E45CF5BC6BC}" name="Revenue" dataDxfId="32">
      <calculatedColumnFormula>D2*E2</calculatedColumnFormula>
    </tableColumn>
    <tableColumn id="12" xr3:uid="{497A4CB7-5D10-4C13-AD82-1BD1D18A932C}" name="year" dataDxfId="31">
      <calculatedColumnFormula>TEXT(B2,"yyyy")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FEF1E-9909-4E09-A38E-D0F3EEF19880}">
  <dimension ref="A3:B10"/>
  <sheetViews>
    <sheetView workbookViewId="0">
      <selection activeCell="A3" sqref="A3:B10"/>
    </sheetView>
  </sheetViews>
  <sheetFormatPr defaultRowHeight="14.4" x14ac:dyDescent="0.3"/>
  <cols>
    <col min="1" max="1" width="17.44140625" bestFit="1" customWidth="1"/>
    <col min="2" max="2" width="11.44140625" bestFit="1" customWidth="1"/>
  </cols>
  <sheetData>
    <row r="3" spans="1:2" x14ac:dyDescent="0.3">
      <c r="A3" s="2" t="s">
        <v>41</v>
      </c>
      <c r="B3" t="s">
        <v>54</v>
      </c>
    </row>
    <row r="4" spans="1:2" x14ac:dyDescent="0.3">
      <c r="A4" s="3" t="s">
        <v>14</v>
      </c>
      <c r="B4" s="6">
        <v>2.95</v>
      </c>
    </row>
    <row r="5" spans="1:2" x14ac:dyDescent="0.3">
      <c r="A5" s="3" t="s">
        <v>21</v>
      </c>
      <c r="B5" s="6">
        <v>12.99</v>
      </c>
    </row>
    <row r="6" spans="1:2" x14ac:dyDescent="0.3">
      <c r="A6" s="3" t="s">
        <v>25</v>
      </c>
      <c r="B6" s="6">
        <v>29.05</v>
      </c>
    </row>
    <row r="7" spans="1:2" x14ac:dyDescent="0.3">
      <c r="A7" s="3" t="s">
        <v>9</v>
      </c>
      <c r="B7" s="6">
        <v>25.5</v>
      </c>
    </row>
    <row r="8" spans="1:2" x14ac:dyDescent="0.3">
      <c r="A8" s="3" t="s">
        <v>17</v>
      </c>
      <c r="B8" s="6">
        <v>4.99</v>
      </c>
    </row>
    <row r="9" spans="1:2" x14ac:dyDescent="0.3">
      <c r="A9" s="3" t="s">
        <v>39</v>
      </c>
      <c r="B9" s="6"/>
    </row>
    <row r="10" spans="1:2" x14ac:dyDescent="0.3">
      <c r="A10" s="3" t="s">
        <v>40</v>
      </c>
      <c r="B10" s="6">
        <v>29.05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31087-325A-4114-B65C-F0FA7CC705D1}">
  <dimension ref="A1:L255"/>
  <sheetViews>
    <sheetView workbookViewId="0">
      <selection activeCell="N105" sqref="N105"/>
    </sheetView>
  </sheetViews>
  <sheetFormatPr defaultRowHeight="14.4" x14ac:dyDescent="0.3"/>
  <cols>
    <col min="1" max="1" width="9.88671875" customWidth="1"/>
    <col min="2" max="2" width="10.33203125" bestFit="1" customWidth="1"/>
    <col min="3" max="3" width="17.44140625" bestFit="1" customWidth="1"/>
    <col min="4" max="4" width="7" customWidth="1"/>
    <col min="5" max="5" width="10.21875" customWidth="1"/>
    <col min="6" max="6" width="15.109375" customWidth="1"/>
    <col min="7" max="7" width="17.6640625" customWidth="1"/>
    <col min="8" max="8" width="14.6640625" bestFit="1" customWidth="1"/>
    <col min="9" max="9" width="7.109375" bestFit="1" customWidth="1"/>
    <col min="10" max="10" width="19.77734375" customWidth="1"/>
    <col min="11" max="11" width="27.33203125" customWidth="1"/>
  </cols>
  <sheetData>
    <row r="1" spans="1:12" x14ac:dyDescent="0.3">
      <c r="A1" t="s">
        <v>0</v>
      </c>
      <c r="B1" t="s">
        <v>1</v>
      </c>
      <c r="C1" t="s">
        <v>2</v>
      </c>
      <c r="D1" t="s">
        <v>3</v>
      </c>
      <c r="E1" t="s">
        <v>4</v>
      </c>
      <c r="F1" t="s">
        <v>5</v>
      </c>
      <c r="G1" t="s">
        <v>6</v>
      </c>
      <c r="H1" t="s">
        <v>7</v>
      </c>
      <c r="I1" t="s">
        <v>8</v>
      </c>
      <c r="J1" t="s">
        <v>43</v>
      </c>
      <c r="K1" t="s">
        <v>42</v>
      </c>
      <c r="L1" t="s">
        <v>52</v>
      </c>
    </row>
    <row r="2" spans="1:12" x14ac:dyDescent="0.3">
      <c r="A2">
        <v>10452</v>
      </c>
      <c r="B2" s="1">
        <v>44872</v>
      </c>
      <c r="C2" t="s">
        <v>9</v>
      </c>
      <c r="D2">
        <v>3.49</v>
      </c>
      <c r="E2">
        <v>573.07000000000005</v>
      </c>
      <c r="F2" t="s">
        <v>10</v>
      </c>
      <c r="G2" t="s">
        <v>11</v>
      </c>
      <c r="H2" t="s">
        <v>12</v>
      </c>
      <c r="I2" t="s">
        <v>13</v>
      </c>
      <c r="J2" t="str">
        <f>TEXT(B2,"dddd")</f>
        <v>Monday</v>
      </c>
      <c r="K2">
        <f t="shared" ref="K2:K65" si="0">D2*E2</f>
        <v>2000.0143000000003</v>
      </c>
      <c r="L2" t="str">
        <f t="shared" ref="L2:L65" si="1">TEXT(B2,"yyyy")</f>
        <v>2022</v>
      </c>
    </row>
    <row r="3" spans="1:12" x14ac:dyDescent="0.3">
      <c r="A3">
        <v>10453</v>
      </c>
      <c r="B3" s="1">
        <v>44872</v>
      </c>
      <c r="C3" t="s">
        <v>14</v>
      </c>
      <c r="D3">
        <v>2.95</v>
      </c>
      <c r="E3">
        <v>745.76</v>
      </c>
      <c r="F3" t="s">
        <v>10</v>
      </c>
      <c r="G3" t="s">
        <v>11</v>
      </c>
      <c r="H3" t="s">
        <v>15</v>
      </c>
      <c r="I3" t="s">
        <v>16</v>
      </c>
      <c r="J3" t="str">
        <f t="shared" ref="J3:J65" si="2">TEXT(B3,"dddd")</f>
        <v>Monday</v>
      </c>
      <c r="K3">
        <f t="shared" si="0"/>
        <v>2199.9920000000002</v>
      </c>
      <c r="L3" t="str">
        <f t="shared" si="1"/>
        <v>2022</v>
      </c>
    </row>
    <row r="4" spans="1:12" hidden="1" x14ac:dyDescent="0.3">
      <c r="A4">
        <v>10454</v>
      </c>
      <c r="B4" s="1">
        <v>44872</v>
      </c>
      <c r="C4" t="s">
        <v>17</v>
      </c>
      <c r="D4">
        <v>4.99</v>
      </c>
      <c r="E4">
        <v>200.4</v>
      </c>
      <c r="F4" t="s">
        <v>18</v>
      </c>
      <c r="G4" t="s">
        <v>11</v>
      </c>
      <c r="H4" t="s">
        <v>19</v>
      </c>
      <c r="I4" t="s">
        <v>20</v>
      </c>
      <c r="J4" t="str">
        <f t="shared" si="2"/>
        <v>Monday</v>
      </c>
      <c r="K4">
        <f t="shared" si="0"/>
        <v>999.99600000000009</v>
      </c>
      <c r="L4" t="str">
        <f t="shared" si="1"/>
        <v>2022</v>
      </c>
    </row>
    <row r="5" spans="1:12" hidden="1" x14ac:dyDescent="0.3">
      <c r="A5">
        <v>10455</v>
      </c>
      <c r="B5" s="1">
        <v>44873</v>
      </c>
      <c r="C5" t="s">
        <v>21</v>
      </c>
      <c r="D5">
        <v>12.99</v>
      </c>
      <c r="E5">
        <v>569.66999999999996</v>
      </c>
      <c r="F5" t="s">
        <v>18</v>
      </c>
      <c r="G5" t="s">
        <v>22</v>
      </c>
      <c r="H5" t="s">
        <v>23</v>
      </c>
      <c r="I5" t="s">
        <v>24</v>
      </c>
      <c r="J5" t="str">
        <f t="shared" si="2"/>
        <v>Tuesday</v>
      </c>
      <c r="K5">
        <f t="shared" si="0"/>
        <v>7400.0132999999996</v>
      </c>
      <c r="L5" t="str">
        <f t="shared" si="1"/>
        <v>2022</v>
      </c>
    </row>
    <row r="6" spans="1:12" hidden="1" x14ac:dyDescent="0.3">
      <c r="A6">
        <v>10456</v>
      </c>
      <c r="B6" s="1">
        <v>44873</v>
      </c>
      <c r="C6" t="s">
        <v>25</v>
      </c>
      <c r="D6">
        <v>9.9499999999999993</v>
      </c>
      <c r="E6">
        <v>201.01</v>
      </c>
      <c r="F6" t="s">
        <v>18</v>
      </c>
      <c r="G6" t="s">
        <v>22</v>
      </c>
      <c r="H6" t="s">
        <v>23</v>
      </c>
      <c r="I6" t="s">
        <v>24</v>
      </c>
      <c r="J6" t="str">
        <f t="shared" si="2"/>
        <v>Tuesday</v>
      </c>
      <c r="K6">
        <f t="shared" si="0"/>
        <v>2000.0494999999999</v>
      </c>
      <c r="L6" t="str">
        <f t="shared" si="1"/>
        <v>2022</v>
      </c>
    </row>
    <row r="7" spans="1:12" hidden="1" x14ac:dyDescent="0.3">
      <c r="A7">
        <v>10457</v>
      </c>
      <c r="B7" s="1">
        <v>44873</v>
      </c>
      <c r="C7" t="s">
        <v>9</v>
      </c>
      <c r="D7">
        <v>3.49</v>
      </c>
      <c r="E7">
        <v>573.07000000000005</v>
      </c>
      <c r="F7" t="s">
        <v>18</v>
      </c>
      <c r="G7" t="s">
        <v>22</v>
      </c>
      <c r="H7" t="s">
        <v>26</v>
      </c>
      <c r="I7" t="s">
        <v>27</v>
      </c>
      <c r="J7" t="str">
        <f t="shared" si="2"/>
        <v>Tuesday</v>
      </c>
      <c r="K7">
        <f t="shared" si="0"/>
        <v>2000.0143000000003</v>
      </c>
      <c r="L7" t="str">
        <f t="shared" si="1"/>
        <v>2022</v>
      </c>
    </row>
    <row r="8" spans="1:12" hidden="1" x14ac:dyDescent="0.3">
      <c r="A8">
        <v>10459</v>
      </c>
      <c r="B8" s="1">
        <v>44873</v>
      </c>
      <c r="C8" t="s">
        <v>17</v>
      </c>
      <c r="D8">
        <v>4.99</v>
      </c>
      <c r="E8">
        <v>200.4</v>
      </c>
      <c r="F8" t="s">
        <v>18</v>
      </c>
      <c r="G8" t="s">
        <v>22</v>
      </c>
      <c r="H8" t="s">
        <v>23</v>
      </c>
      <c r="I8" t="s">
        <v>24</v>
      </c>
      <c r="J8" t="str">
        <f t="shared" si="2"/>
        <v>Tuesday</v>
      </c>
      <c r="K8">
        <f t="shared" si="0"/>
        <v>999.99600000000009</v>
      </c>
      <c r="L8" t="str">
        <f t="shared" si="1"/>
        <v>2022</v>
      </c>
    </row>
    <row r="9" spans="1:12" hidden="1" x14ac:dyDescent="0.3">
      <c r="A9">
        <v>10460</v>
      </c>
      <c r="B9" s="1">
        <v>44874</v>
      </c>
      <c r="C9" t="s">
        <v>21</v>
      </c>
      <c r="D9">
        <v>12.99</v>
      </c>
      <c r="E9">
        <v>554.27</v>
      </c>
      <c r="F9" t="s">
        <v>18</v>
      </c>
      <c r="G9" t="s">
        <v>22</v>
      </c>
      <c r="H9" t="s">
        <v>28</v>
      </c>
      <c r="I9" t="s">
        <v>27</v>
      </c>
      <c r="J9" t="str">
        <f t="shared" si="2"/>
        <v>Wednesday</v>
      </c>
      <c r="K9">
        <f t="shared" si="0"/>
        <v>7199.9673000000003</v>
      </c>
      <c r="L9" t="str">
        <f t="shared" si="1"/>
        <v>2022</v>
      </c>
    </row>
    <row r="10" spans="1:12" hidden="1" x14ac:dyDescent="0.3">
      <c r="A10">
        <v>10461</v>
      </c>
      <c r="B10" s="1">
        <v>44874</v>
      </c>
      <c r="C10" t="s">
        <v>25</v>
      </c>
      <c r="D10">
        <v>9.9499999999999993</v>
      </c>
      <c r="E10">
        <v>201.01</v>
      </c>
      <c r="F10" t="s">
        <v>18</v>
      </c>
      <c r="G10" t="s">
        <v>22</v>
      </c>
      <c r="H10" t="s">
        <v>28</v>
      </c>
      <c r="I10" t="s">
        <v>27</v>
      </c>
      <c r="J10" t="str">
        <f t="shared" si="2"/>
        <v>Wednesday</v>
      </c>
      <c r="K10">
        <f t="shared" si="0"/>
        <v>2000.0494999999999</v>
      </c>
      <c r="L10" t="str">
        <f t="shared" si="1"/>
        <v>2022</v>
      </c>
    </row>
    <row r="11" spans="1:12" hidden="1" x14ac:dyDescent="0.3">
      <c r="A11">
        <v>10462</v>
      </c>
      <c r="B11" s="1">
        <v>44874</v>
      </c>
      <c r="C11" t="s">
        <v>9</v>
      </c>
      <c r="D11">
        <v>3.49</v>
      </c>
      <c r="E11">
        <v>573.07000000000005</v>
      </c>
      <c r="F11" t="s">
        <v>18</v>
      </c>
      <c r="G11" t="s">
        <v>22</v>
      </c>
      <c r="H11" t="s">
        <v>29</v>
      </c>
      <c r="I11" t="s">
        <v>27</v>
      </c>
      <c r="J11" t="str">
        <f t="shared" si="2"/>
        <v>Wednesday</v>
      </c>
      <c r="K11">
        <f t="shared" si="0"/>
        <v>2000.0143000000003</v>
      </c>
      <c r="L11" t="str">
        <f t="shared" si="1"/>
        <v>2022</v>
      </c>
    </row>
    <row r="12" spans="1:12" hidden="1" x14ac:dyDescent="0.3">
      <c r="A12">
        <v>10463</v>
      </c>
      <c r="B12" s="1">
        <v>44874</v>
      </c>
      <c r="C12" t="s">
        <v>14</v>
      </c>
      <c r="D12">
        <v>2.95</v>
      </c>
      <c r="E12">
        <v>677.97</v>
      </c>
      <c r="F12" t="s">
        <v>18</v>
      </c>
      <c r="G12" t="s">
        <v>22</v>
      </c>
      <c r="H12" t="s">
        <v>29</v>
      </c>
      <c r="I12" t="s">
        <v>27</v>
      </c>
      <c r="J12" t="str">
        <f t="shared" si="2"/>
        <v>Wednesday</v>
      </c>
      <c r="K12">
        <f t="shared" si="0"/>
        <v>2000.0115000000003</v>
      </c>
      <c r="L12" t="str">
        <f t="shared" si="1"/>
        <v>2022</v>
      </c>
    </row>
    <row r="13" spans="1:12" hidden="1" x14ac:dyDescent="0.3">
      <c r="A13">
        <v>10464</v>
      </c>
      <c r="B13" s="1">
        <v>44874</v>
      </c>
      <c r="C13" t="s">
        <v>17</v>
      </c>
      <c r="D13">
        <v>4.99</v>
      </c>
      <c r="E13">
        <v>200.4</v>
      </c>
      <c r="F13" t="s">
        <v>18</v>
      </c>
      <c r="G13" t="s">
        <v>22</v>
      </c>
      <c r="H13" t="s">
        <v>30</v>
      </c>
      <c r="I13" t="s">
        <v>27</v>
      </c>
      <c r="J13" t="str">
        <f t="shared" si="2"/>
        <v>Wednesday</v>
      </c>
      <c r="K13">
        <f t="shared" si="0"/>
        <v>999.99600000000009</v>
      </c>
      <c r="L13" t="str">
        <f t="shared" si="1"/>
        <v>2022</v>
      </c>
    </row>
    <row r="14" spans="1:12" hidden="1" x14ac:dyDescent="0.3">
      <c r="A14">
        <v>10465</v>
      </c>
      <c r="B14" s="1">
        <v>44875</v>
      </c>
      <c r="C14" t="s">
        <v>21</v>
      </c>
      <c r="D14">
        <v>12.99</v>
      </c>
      <c r="E14">
        <v>554.27</v>
      </c>
      <c r="F14" t="s">
        <v>18</v>
      </c>
      <c r="G14" t="s">
        <v>22</v>
      </c>
      <c r="H14" t="s">
        <v>31</v>
      </c>
      <c r="I14" t="s">
        <v>16</v>
      </c>
      <c r="J14" t="str">
        <f t="shared" si="2"/>
        <v>Thursday</v>
      </c>
      <c r="K14">
        <f t="shared" si="0"/>
        <v>7199.9673000000003</v>
      </c>
      <c r="L14" t="str">
        <f t="shared" si="1"/>
        <v>2022</v>
      </c>
    </row>
    <row r="15" spans="1:12" hidden="1" x14ac:dyDescent="0.3">
      <c r="A15">
        <v>10466</v>
      </c>
      <c r="B15" s="1">
        <v>44875</v>
      </c>
      <c r="C15" t="s">
        <v>25</v>
      </c>
      <c r="D15">
        <v>9.9499999999999993</v>
      </c>
      <c r="E15">
        <v>201.01</v>
      </c>
      <c r="F15" t="s">
        <v>18</v>
      </c>
      <c r="G15" t="s">
        <v>22</v>
      </c>
      <c r="H15" t="s">
        <v>31</v>
      </c>
      <c r="I15" t="s">
        <v>16</v>
      </c>
      <c r="J15" t="str">
        <f t="shared" si="2"/>
        <v>Thursday</v>
      </c>
      <c r="K15">
        <f t="shared" si="0"/>
        <v>2000.0494999999999</v>
      </c>
      <c r="L15" t="str">
        <f t="shared" si="1"/>
        <v>2022</v>
      </c>
    </row>
    <row r="16" spans="1:12" hidden="1" x14ac:dyDescent="0.3">
      <c r="A16">
        <v>10467</v>
      </c>
      <c r="B16" s="1">
        <v>44875</v>
      </c>
      <c r="C16" t="s">
        <v>9</v>
      </c>
      <c r="D16">
        <v>3.49</v>
      </c>
      <c r="E16">
        <v>573.07000000000005</v>
      </c>
      <c r="F16" t="s">
        <v>18</v>
      </c>
      <c r="G16" t="s">
        <v>22</v>
      </c>
      <c r="H16" t="s">
        <v>31</v>
      </c>
      <c r="I16" t="s">
        <v>16</v>
      </c>
      <c r="J16" t="str">
        <f t="shared" si="2"/>
        <v>Thursday</v>
      </c>
      <c r="K16">
        <f t="shared" si="0"/>
        <v>2000.0143000000003</v>
      </c>
      <c r="L16" t="str">
        <f t="shared" si="1"/>
        <v>2022</v>
      </c>
    </row>
    <row r="17" spans="1:12" hidden="1" x14ac:dyDescent="0.3">
      <c r="A17">
        <v>10468</v>
      </c>
      <c r="B17" s="1">
        <v>44875</v>
      </c>
      <c r="C17" t="s">
        <v>14</v>
      </c>
      <c r="D17">
        <v>2.95</v>
      </c>
      <c r="E17">
        <v>677.97</v>
      </c>
      <c r="F17" t="s">
        <v>18</v>
      </c>
      <c r="G17" t="s">
        <v>22</v>
      </c>
      <c r="H17" t="s">
        <v>15</v>
      </c>
      <c r="I17" t="s">
        <v>16</v>
      </c>
      <c r="J17" t="str">
        <f t="shared" si="2"/>
        <v>Thursday</v>
      </c>
      <c r="K17">
        <f t="shared" si="0"/>
        <v>2000.0115000000003</v>
      </c>
      <c r="L17" t="str">
        <f t="shared" si="1"/>
        <v>2022</v>
      </c>
    </row>
    <row r="18" spans="1:12" hidden="1" x14ac:dyDescent="0.3">
      <c r="A18">
        <v>10470</v>
      </c>
      <c r="B18" s="1">
        <v>44876</v>
      </c>
      <c r="C18" t="s">
        <v>21</v>
      </c>
      <c r="D18">
        <v>12.99</v>
      </c>
      <c r="E18">
        <v>554.27</v>
      </c>
      <c r="F18" t="s">
        <v>18</v>
      </c>
      <c r="G18" t="s">
        <v>22</v>
      </c>
      <c r="H18" t="s">
        <v>15</v>
      </c>
      <c r="I18" t="s">
        <v>16</v>
      </c>
      <c r="J18" t="str">
        <f t="shared" si="2"/>
        <v>Friday</v>
      </c>
      <c r="K18">
        <f t="shared" si="0"/>
        <v>7199.9673000000003</v>
      </c>
      <c r="L18" t="str">
        <f t="shared" si="1"/>
        <v>2022</v>
      </c>
    </row>
    <row r="19" spans="1:12" hidden="1" x14ac:dyDescent="0.3">
      <c r="A19">
        <v>10471</v>
      </c>
      <c r="B19" s="1">
        <v>44876</v>
      </c>
      <c r="C19" t="s">
        <v>25</v>
      </c>
      <c r="D19">
        <v>9.9499999999999993</v>
      </c>
      <c r="E19">
        <v>201.01</v>
      </c>
      <c r="F19" t="s">
        <v>18</v>
      </c>
      <c r="G19" t="s">
        <v>22</v>
      </c>
      <c r="H19" t="s">
        <v>15</v>
      </c>
      <c r="I19" t="s">
        <v>16</v>
      </c>
      <c r="J19" t="str">
        <f t="shared" si="2"/>
        <v>Friday</v>
      </c>
      <c r="K19">
        <f t="shared" si="0"/>
        <v>2000.0494999999999</v>
      </c>
      <c r="L19" t="str">
        <f t="shared" si="1"/>
        <v>2022</v>
      </c>
    </row>
    <row r="20" spans="1:12" hidden="1" x14ac:dyDescent="0.3">
      <c r="A20">
        <v>10472</v>
      </c>
      <c r="B20" s="1">
        <v>44876</v>
      </c>
      <c r="C20" t="s">
        <v>9</v>
      </c>
      <c r="D20">
        <v>3.49</v>
      </c>
      <c r="E20">
        <v>630.37</v>
      </c>
      <c r="F20" t="s">
        <v>18</v>
      </c>
      <c r="G20" t="s">
        <v>22</v>
      </c>
      <c r="H20" t="s">
        <v>32</v>
      </c>
      <c r="I20" t="s">
        <v>16</v>
      </c>
      <c r="J20" t="str">
        <f t="shared" si="2"/>
        <v>Friday</v>
      </c>
      <c r="K20">
        <f t="shared" si="0"/>
        <v>2199.9913000000001</v>
      </c>
      <c r="L20" t="str">
        <f t="shared" si="1"/>
        <v>2022</v>
      </c>
    </row>
    <row r="21" spans="1:12" hidden="1" x14ac:dyDescent="0.3">
      <c r="A21">
        <v>10473</v>
      </c>
      <c r="B21" s="1">
        <v>44876</v>
      </c>
      <c r="C21" t="s">
        <v>14</v>
      </c>
      <c r="D21">
        <v>2.95</v>
      </c>
      <c r="E21">
        <v>677.97</v>
      </c>
      <c r="F21" t="s">
        <v>18</v>
      </c>
      <c r="G21" t="s">
        <v>22</v>
      </c>
      <c r="H21" t="s">
        <v>15</v>
      </c>
      <c r="I21" t="s">
        <v>16</v>
      </c>
      <c r="J21" t="str">
        <f t="shared" si="2"/>
        <v>Friday</v>
      </c>
      <c r="K21">
        <f t="shared" si="0"/>
        <v>2000.0115000000003</v>
      </c>
      <c r="L21" t="str">
        <f t="shared" si="1"/>
        <v>2022</v>
      </c>
    </row>
    <row r="22" spans="1:12" hidden="1" x14ac:dyDescent="0.3">
      <c r="A22">
        <v>10474</v>
      </c>
      <c r="B22" s="1">
        <v>44876</v>
      </c>
      <c r="C22" t="s">
        <v>17</v>
      </c>
      <c r="D22">
        <v>4.99</v>
      </c>
      <c r="E22">
        <v>200.4</v>
      </c>
      <c r="F22" t="s">
        <v>18</v>
      </c>
      <c r="G22" t="s">
        <v>22</v>
      </c>
      <c r="H22" t="s">
        <v>15</v>
      </c>
      <c r="I22" t="s">
        <v>16</v>
      </c>
      <c r="J22" t="str">
        <f t="shared" si="2"/>
        <v>Friday</v>
      </c>
      <c r="K22">
        <f t="shared" si="0"/>
        <v>999.99600000000009</v>
      </c>
      <c r="L22" t="str">
        <f t="shared" si="1"/>
        <v>2022</v>
      </c>
    </row>
    <row r="23" spans="1:12" hidden="1" x14ac:dyDescent="0.3">
      <c r="A23">
        <v>10475</v>
      </c>
      <c r="B23" s="1">
        <v>44877</v>
      </c>
      <c r="C23" t="s">
        <v>21</v>
      </c>
      <c r="D23">
        <v>12.99</v>
      </c>
      <c r="E23">
        <v>523.48</v>
      </c>
      <c r="F23" t="s">
        <v>18</v>
      </c>
      <c r="G23" t="s">
        <v>22</v>
      </c>
      <c r="H23" t="s">
        <v>15</v>
      </c>
      <c r="I23" t="s">
        <v>16</v>
      </c>
      <c r="J23" t="str">
        <f t="shared" si="2"/>
        <v>Saturday</v>
      </c>
      <c r="K23">
        <f t="shared" si="0"/>
        <v>6800.0052000000005</v>
      </c>
      <c r="L23" t="str">
        <f t="shared" si="1"/>
        <v>2022</v>
      </c>
    </row>
    <row r="24" spans="1:12" hidden="1" x14ac:dyDescent="0.3">
      <c r="A24">
        <v>10476</v>
      </c>
      <c r="B24" s="1">
        <v>44877</v>
      </c>
      <c r="C24" t="s">
        <v>25</v>
      </c>
      <c r="D24">
        <v>9.9499999999999993</v>
      </c>
      <c r="E24">
        <v>201.01</v>
      </c>
      <c r="F24" t="s">
        <v>18</v>
      </c>
      <c r="G24" t="s">
        <v>22</v>
      </c>
      <c r="H24" t="s">
        <v>31</v>
      </c>
      <c r="I24" t="s">
        <v>16</v>
      </c>
      <c r="J24" t="str">
        <f t="shared" si="2"/>
        <v>Saturday</v>
      </c>
      <c r="K24">
        <f t="shared" si="0"/>
        <v>2000.0494999999999</v>
      </c>
      <c r="L24" t="str">
        <f t="shared" si="1"/>
        <v>2022</v>
      </c>
    </row>
    <row r="25" spans="1:12" hidden="1" x14ac:dyDescent="0.3">
      <c r="A25">
        <v>10477</v>
      </c>
      <c r="B25" s="1">
        <v>44877</v>
      </c>
      <c r="C25" t="s">
        <v>9</v>
      </c>
      <c r="D25">
        <v>3.49</v>
      </c>
      <c r="E25">
        <v>630.37</v>
      </c>
      <c r="F25" t="s">
        <v>18</v>
      </c>
      <c r="G25" t="s">
        <v>22</v>
      </c>
      <c r="H25" t="s">
        <v>33</v>
      </c>
      <c r="I25" t="s">
        <v>16</v>
      </c>
      <c r="J25" t="str">
        <f t="shared" si="2"/>
        <v>Saturday</v>
      </c>
      <c r="K25">
        <f t="shared" si="0"/>
        <v>2199.9913000000001</v>
      </c>
      <c r="L25" t="str">
        <f t="shared" si="1"/>
        <v>2022</v>
      </c>
    </row>
    <row r="26" spans="1:12" hidden="1" x14ac:dyDescent="0.3">
      <c r="A26">
        <v>10478</v>
      </c>
      <c r="B26" s="1">
        <v>44877</v>
      </c>
      <c r="C26" t="s">
        <v>14</v>
      </c>
      <c r="D26">
        <v>2.95</v>
      </c>
      <c r="E26">
        <v>677.97</v>
      </c>
      <c r="F26" t="s">
        <v>18</v>
      </c>
      <c r="G26" t="s">
        <v>22</v>
      </c>
      <c r="H26" t="s">
        <v>31</v>
      </c>
      <c r="I26" t="s">
        <v>16</v>
      </c>
      <c r="J26" t="str">
        <f t="shared" si="2"/>
        <v>Saturday</v>
      </c>
      <c r="K26">
        <f t="shared" si="0"/>
        <v>2000.0115000000003</v>
      </c>
      <c r="L26" t="str">
        <f t="shared" si="1"/>
        <v>2022</v>
      </c>
    </row>
    <row r="27" spans="1:12" hidden="1" x14ac:dyDescent="0.3">
      <c r="A27">
        <v>10479</v>
      </c>
      <c r="B27" s="1">
        <v>44877</v>
      </c>
      <c r="C27" t="s">
        <v>17</v>
      </c>
      <c r="D27">
        <v>4.99</v>
      </c>
      <c r="E27">
        <v>200.4</v>
      </c>
      <c r="F27" t="s">
        <v>18</v>
      </c>
      <c r="G27" t="s">
        <v>22</v>
      </c>
      <c r="H27" t="s">
        <v>34</v>
      </c>
      <c r="I27" t="s">
        <v>16</v>
      </c>
      <c r="J27" t="str">
        <f t="shared" si="2"/>
        <v>Saturday</v>
      </c>
      <c r="K27">
        <f t="shared" si="0"/>
        <v>999.99600000000009</v>
      </c>
      <c r="L27" t="str">
        <f t="shared" si="1"/>
        <v>2022</v>
      </c>
    </row>
    <row r="28" spans="1:12" hidden="1" x14ac:dyDescent="0.3">
      <c r="A28">
        <v>10480</v>
      </c>
      <c r="B28" s="1">
        <v>44878</v>
      </c>
      <c r="C28" t="s">
        <v>21</v>
      </c>
      <c r="D28">
        <v>12.99</v>
      </c>
      <c r="E28">
        <v>508.08</v>
      </c>
      <c r="F28" t="s">
        <v>18</v>
      </c>
      <c r="G28" t="s">
        <v>22</v>
      </c>
      <c r="H28" t="s">
        <v>31</v>
      </c>
      <c r="I28" t="s">
        <v>16</v>
      </c>
      <c r="J28" t="str">
        <f t="shared" si="2"/>
        <v>Sunday</v>
      </c>
      <c r="K28">
        <f t="shared" si="0"/>
        <v>6599.9592000000002</v>
      </c>
      <c r="L28" t="str">
        <f t="shared" si="1"/>
        <v>2022</v>
      </c>
    </row>
    <row r="29" spans="1:12" hidden="1" x14ac:dyDescent="0.3">
      <c r="A29">
        <v>10481</v>
      </c>
      <c r="B29" s="1">
        <v>44878</v>
      </c>
      <c r="C29" t="s">
        <v>25</v>
      </c>
      <c r="D29">
        <v>9.9499999999999993</v>
      </c>
      <c r="E29">
        <v>201.01</v>
      </c>
      <c r="F29" t="s">
        <v>18</v>
      </c>
      <c r="G29" t="s">
        <v>22</v>
      </c>
      <c r="H29" t="s">
        <v>31</v>
      </c>
      <c r="I29" t="s">
        <v>16</v>
      </c>
      <c r="J29" t="str">
        <f t="shared" si="2"/>
        <v>Sunday</v>
      </c>
      <c r="K29">
        <f t="shared" si="0"/>
        <v>2000.0494999999999</v>
      </c>
      <c r="L29" t="str">
        <f t="shared" si="1"/>
        <v>2022</v>
      </c>
    </row>
    <row r="30" spans="1:12" hidden="1" x14ac:dyDescent="0.3">
      <c r="A30">
        <v>10482</v>
      </c>
      <c r="B30" s="1">
        <v>44878</v>
      </c>
      <c r="C30" t="s">
        <v>9</v>
      </c>
      <c r="D30">
        <v>25.5</v>
      </c>
      <c r="E30">
        <v>630.37</v>
      </c>
      <c r="F30" t="s">
        <v>18</v>
      </c>
      <c r="G30" t="s">
        <v>22</v>
      </c>
      <c r="H30" t="s">
        <v>35</v>
      </c>
      <c r="I30" t="s">
        <v>20</v>
      </c>
      <c r="J30" t="str">
        <f t="shared" si="2"/>
        <v>Sunday</v>
      </c>
      <c r="K30">
        <f t="shared" si="0"/>
        <v>16074.434999999999</v>
      </c>
      <c r="L30" t="str">
        <f t="shared" si="1"/>
        <v>2022</v>
      </c>
    </row>
    <row r="31" spans="1:12" hidden="1" x14ac:dyDescent="0.3">
      <c r="A31">
        <v>10486</v>
      </c>
      <c r="B31" s="1">
        <v>44879</v>
      </c>
      <c r="C31" t="s">
        <v>25</v>
      </c>
      <c r="D31">
        <v>29.05</v>
      </c>
      <c r="E31">
        <v>201.01</v>
      </c>
      <c r="F31" t="s">
        <v>18</v>
      </c>
      <c r="G31" t="s">
        <v>22</v>
      </c>
      <c r="H31" t="s">
        <v>19</v>
      </c>
      <c r="I31" t="s">
        <v>20</v>
      </c>
      <c r="J31" t="str">
        <f t="shared" si="2"/>
        <v>Monday</v>
      </c>
      <c r="K31">
        <f t="shared" si="0"/>
        <v>5839.3405000000002</v>
      </c>
      <c r="L31" t="str">
        <f t="shared" si="1"/>
        <v>2022</v>
      </c>
    </row>
    <row r="32" spans="1:12" hidden="1" x14ac:dyDescent="0.3">
      <c r="A32">
        <v>10487</v>
      </c>
      <c r="B32" s="1">
        <v>44879</v>
      </c>
      <c r="C32" t="s">
        <v>9</v>
      </c>
      <c r="D32">
        <v>3.49</v>
      </c>
      <c r="E32">
        <v>630.37</v>
      </c>
      <c r="F32" t="s">
        <v>18</v>
      </c>
      <c r="G32" t="s">
        <v>22</v>
      </c>
      <c r="H32" t="s">
        <v>35</v>
      </c>
      <c r="I32" t="s">
        <v>20</v>
      </c>
      <c r="J32" t="str">
        <f t="shared" si="2"/>
        <v>Monday</v>
      </c>
      <c r="K32">
        <f t="shared" si="0"/>
        <v>2199.9913000000001</v>
      </c>
      <c r="L32" t="str">
        <f t="shared" si="1"/>
        <v>2022</v>
      </c>
    </row>
    <row r="33" spans="1:12" hidden="1" x14ac:dyDescent="0.3">
      <c r="A33">
        <v>10488</v>
      </c>
      <c r="B33" s="1">
        <v>44879</v>
      </c>
      <c r="C33" t="s">
        <v>14</v>
      </c>
      <c r="D33">
        <v>2.95</v>
      </c>
      <c r="E33">
        <v>677.97</v>
      </c>
      <c r="F33" t="s">
        <v>18</v>
      </c>
      <c r="G33" t="s">
        <v>22</v>
      </c>
      <c r="H33" t="s">
        <v>35</v>
      </c>
      <c r="I33" t="s">
        <v>20</v>
      </c>
      <c r="J33" t="str">
        <f t="shared" si="2"/>
        <v>Monday</v>
      </c>
      <c r="K33">
        <f t="shared" si="0"/>
        <v>2000.0115000000003</v>
      </c>
      <c r="L33" t="str">
        <f t="shared" si="1"/>
        <v>2022</v>
      </c>
    </row>
    <row r="34" spans="1:12" hidden="1" x14ac:dyDescent="0.3">
      <c r="A34">
        <v>10489</v>
      </c>
      <c r="B34" s="1">
        <v>44879</v>
      </c>
      <c r="C34" t="s">
        <v>17</v>
      </c>
      <c r="D34">
        <v>4.99</v>
      </c>
      <c r="E34">
        <v>200.4</v>
      </c>
      <c r="F34" t="s">
        <v>18</v>
      </c>
      <c r="G34" t="s">
        <v>22</v>
      </c>
      <c r="H34" t="s">
        <v>31</v>
      </c>
      <c r="I34" t="s">
        <v>16</v>
      </c>
      <c r="J34" t="str">
        <f t="shared" si="2"/>
        <v>Monday</v>
      </c>
      <c r="K34">
        <f t="shared" si="0"/>
        <v>999.99600000000009</v>
      </c>
      <c r="L34" t="str">
        <f t="shared" si="1"/>
        <v>2022</v>
      </c>
    </row>
    <row r="35" spans="1:12" hidden="1" x14ac:dyDescent="0.3">
      <c r="A35">
        <v>10490</v>
      </c>
      <c r="B35" s="1">
        <v>44880</v>
      </c>
      <c r="C35" t="s">
        <v>21</v>
      </c>
      <c r="D35">
        <v>12.99</v>
      </c>
      <c r="E35">
        <v>508.08</v>
      </c>
      <c r="F35" t="s">
        <v>18</v>
      </c>
      <c r="G35" t="s">
        <v>22</v>
      </c>
      <c r="H35" t="s">
        <v>31</v>
      </c>
      <c r="I35" t="s">
        <v>16</v>
      </c>
      <c r="J35" t="str">
        <f t="shared" si="2"/>
        <v>Tuesday</v>
      </c>
      <c r="K35">
        <f t="shared" si="0"/>
        <v>6599.9592000000002</v>
      </c>
      <c r="L35" t="str">
        <f t="shared" si="1"/>
        <v>2022</v>
      </c>
    </row>
    <row r="36" spans="1:12" hidden="1" x14ac:dyDescent="0.3">
      <c r="A36">
        <v>10491</v>
      </c>
      <c r="B36" s="1">
        <v>44880</v>
      </c>
      <c r="C36" t="s">
        <v>25</v>
      </c>
      <c r="D36">
        <v>9.9499999999999993</v>
      </c>
      <c r="E36">
        <v>201.01</v>
      </c>
      <c r="F36" t="s">
        <v>18</v>
      </c>
      <c r="G36" t="s">
        <v>22</v>
      </c>
      <c r="H36" t="s">
        <v>31</v>
      </c>
      <c r="I36" t="s">
        <v>16</v>
      </c>
      <c r="J36" t="str">
        <f t="shared" si="2"/>
        <v>Tuesday</v>
      </c>
      <c r="K36">
        <f t="shared" si="0"/>
        <v>2000.0494999999999</v>
      </c>
      <c r="L36" t="str">
        <f t="shared" si="1"/>
        <v>2022</v>
      </c>
    </row>
    <row r="37" spans="1:12" hidden="1" x14ac:dyDescent="0.3">
      <c r="A37">
        <v>10492</v>
      </c>
      <c r="B37" s="1">
        <v>44880</v>
      </c>
      <c r="C37" t="s">
        <v>9</v>
      </c>
      <c r="D37">
        <v>3.49</v>
      </c>
      <c r="E37">
        <v>573.07000000000005</v>
      </c>
      <c r="F37" t="s">
        <v>18</v>
      </c>
      <c r="G37" t="s">
        <v>22</v>
      </c>
      <c r="H37" t="s">
        <v>31</v>
      </c>
      <c r="I37" t="s">
        <v>16</v>
      </c>
      <c r="J37" t="str">
        <f t="shared" si="2"/>
        <v>Tuesday</v>
      </c>
      <c r="K37">
        <f t="shared" si="0"/>
        <v>2000.0143000000003</v>
      </c>
      <c r="L37" t="str">
        <f t="shared" si="1"/>
        <v>2022</v>
      </c>
    </row>
    <row r="38" spans="1:12" hidden="1" x14ac:dyDescent="0.3">
      <c r="A38">
        <v>10493</v>
      </c>
      <c r="B38" s="1">
        <v>44880</v>
      </c>
      <c r="C38" t="s">
        <v>14</v>
      </c>
      <c r="D38">
        <v>2.95</v>
      </c>
      <c r="E38">
        <v>677.97</v>
      </c>
      <c r="F38" t="s">
        <v>18</v>
      </c>
      <c r="G38" t="s">
        <v>22</v>
      </c>
      <c r="H38" t="s">
        <v>31</v>
      </c>
      <c r="I38" t="s">
        <v>16</v>
      </c>
      <c r="J38" t="str">
        <f t="shared" si="2"/>
        <v>Tuesday</v>
      </c>
      <c r="K38">
        <f t="shared" si="0"/>
        <v>2000.0115000000003</v>
      </c>
      <c r="L38" t="str">
        <f t="shared" si="1"/>
        <v>2022</v>
      </c>
    </row>
    <row r="39" spans="1:12" hidden="1" x14ac:dyDescent="0.3">
      <c r="A39">
        <v>10494</v>
      </c>
      <c r="B39" s="1">
        <v>44880</v>
      </c>
      <c r="C39" t="s">
        <v>17</v>
      </c>
      <c r="D39">
        <v>4.99</v>
      </c>
      <c r="E39">
        <v>200.4</v>
      </c>
      <c r="F39" t="s">
        <v>18</v>
      </c>
      <c r="G39" t="s">
        <v>22</v>
      </c>
      <c r="H39" t="s">
        <v>31</v>
      </c>
      <c r="I39" t="s">
        <v>16</v>
      </c>
      <c r="J39" t="str">
        <f t="shared" si="2"/>
        <v>Tuesday</v>
      </c>
      <c r="K39">
        <f t="shared" si="0"/>
        <v>999.99600000000009</v>
      </c>
      <c r="L39" t="str">
        <f t="shared" si="1"/>
        <v>2022</v>
      </c>
    </row>
    <row r="40" spans="1:12" hidden="1" x14ac:dyDescent="0.3">
      <c r="A40">
        <v>10495</v>
      </c>
      <c r="B40" s="1">
        <v>44881</v>
      </c>
      <c r="C40" t="s">
        <v>21</v>
      </c>
      <c r="D40">
        <v>12.99</v>
      </c>
      <c r="E40">
        <v>508.08</v>
      </c>
      <c r="F40" t="s">
        <v>18</v>
      </c>
      <c r="G40" t="s">
        <v>22</v>
      </c>
      <c r="H40" t="s">
        <v>31</v>
      </c>
      <c r="I40" t="s">
        <v>16</v>
      </c>
      <c r="J40" t="str">
        <f t="shared" si="2"/>
        <v>Wednesday</v>
      </c>
      <c r="K40">
        <f t="shared" si="0"/>
        <v>6599.9592000000002</v>
      </c>
      <c r="L40" t="str">
        <f t="shared" si="1"/>
        <v>2022</v>
      </c>
    </row>
    <row r="41" spans="1:12" hidden="1" x14ac:dyDescent="0.3">
      <c r="A41">
        <v>10496</v>
      </c>
      <c r="B41" s="1">
        <v>44881</v>
      </c>
      <c r="C41" t="s">
        <v>25</v>
      </c>
      <c r="D41">
        <v>9.9499999999999993</v>
      </c>
      <c r="E41">
        <v>201.01</v>
      </c>
      <c r="F41" t="s">
        <v>18</v>
      </c>
      <c r="G41" t="s">
        <v>22</v>
      </c>
      <c r="H41" t="s">
        <v>31</v>
      </c>
      <c r="I41" t="s">
        <v>16</v>
      </c>
      <c r="J41" t="str">
        <f t="shared" si="2"/>
        <v>Wednesday</v>
      </c>
      <c r="K41">
        <f t="shared" si="0"/>
        <v>2000.0494999999999</v>
      </c>
      <c r="L41" t="str">
        <f t="shared" si="1"/>
        <v>2022</v>
      </c>
    </row>
    <row r="42" spans="1:12" hidden="1" x14ac:dyDescent="0.3">
      <c r="A42">
        <v>10497</v>
      </c>
      <c r="B42" s="1">
        <v>44881</v>
      </c>
      <c r="C42" t="s">
        <v>9</v>
      </c>
      <c r="D42">
        <v>3.49</v>
      </c>
      <c r="E42">
        <v>573.07000000000005</v>
      </c>
      <c r="F42" t="s">
        <v>18</v>
      </c>
      <c r="G42" t="s">
        <v>22</v>
      </c>
      <c r="H42" t="s">
        <v>31</v>
      </c>
      <c r="I42" t="s">
        <v>16</v>
      </c>
      <c r="J42" t="str">
        <f t="shared" si="2"/>
        <v>Wednesday</v>
      </c>
      <c r="K42">
        <f t="shared" si="0"/>
        <v>2000.0143000000003</v>
      </c>
      <c r="L42" t="str">
        <f t="shared" si="1"/>
        <v>2022</v>
      </c>
    </row>
    <row r="43" spans="1:12" hidden="1" x14ac:dyDescent="0.3">
      <c r="A43">
        <v>10498</v>
      </c>
      <c r="B43" s="1">
        <v>44881</v>
      </c>
      <c r="C43" t="s">
        <v>14</v>
      </c>
      <c r="D43">
        <v>2.95</v>
      </c>
      <c r="E43">
        <v>677.97</v>
      </c>
      <c r="F43" t="s">
        <v>36</v>
      </c>
      <c r="G43" t="s">
        <v>22</v>
      </c>
      <c r="H43" t="s">
        <v>31</v>
      </c>
      <c r="I43" t="s">
        <v>16</v>
      </c>
      <c r="J43" t="str">
        <f t="shared" si="2"/>
        <v>Wednesday</v>
      </c>
      <c r="K43">
        <f t="shared" si="0"/>
        <v>2000.0115000000003</v>
      </c>
      <c r="L43" t="str">
        <f t="shared" si="1"/>
        <v>2022</v>
      </c>
    </row>
    <row r="44" spans="1:12" hidden="1" x14ac:dyDescent="0.3">
      <c r="A44">
        <v>10499</v>
      </c>
      <c r="B44" s="1">
        <v>44881</v>
      </c>
      <c r="C44" t="s">
        <v>17</v>
      </c>
      <c r="D44">
        <v>4.99</v>
      </c>
      <c r="E44">
        <v>200.4</v>
      </c>
      <c r="F44" t="s">
        <v>36</v>
      </c>
      <c r="G44" t="s">
        <v>22</v>
      </c>
      <c r="H44" t="s">
        <v>31</v>
      </c>
      <c r="I44" t="s">
        <v>16</v>
      </c>
      <c r="J44" t="str">
        <f t="shared" si="2"/>
        <v>Wednesday</v>
      </c>
      <c r="K44">
        <f t="shared" si="0"/>
        <v>999.99600000000009</v>
      </c>
      <c r="L44" t="str">
        <f t="shared" si="1"/>
        <v>2022</v>
      </c>
    </row>
    <row r="45" spans="1:12" hidden="1" x14ac:dyDescent="0.3">
      <c r="A45">
        <v>10500</v>
      </c>
      <c r="B45" s="1">
        <v>44882</v>
      </c>
      <c r="C45" t="s">
        <v>21</v>
      </c>
      <c r="D45">
        <v>12.99</v>
      </c>
      <c r="E45">
        <v>523.48</v>
      </c>
      <c r="F45" t="s">
        <v>36</v>
      </c>
      <c r="G45" t="s">
        <v>22</v>
      </c>
      <c r="H45" t="s">
        <v>31</v>
      </c>
      <c r="I45" t="s">
        <v>16</v>
      </c>
      <c r="J45" t="str">
        <f t="shared" si="2"/>
        <v>Thursday</v>
      </c>
      <c r="K45">
        <f t="shared" si="0"/>
        <v>6800.0052000000005</v>
      </c>
      <c r="L45" t="str">
        <f t="shared" si="1"/>
        <v>2022</v>
      </c>
    </row>
    <row r="46" spans="1:12" hidden="1" x14ac:dyDescent="0.3">
      <c r="A46">
        <v>10501</v>
      </c>
      <c r="B46" s="1">
        <v>44882</v>
      </c>
      <c r="C46" t="s">
        <v>25</v>
      </c>
      <c r="D46">
        <v>9.9499999999999993</v>
      </c>
      <c r="E46">
        <v>201.01</v>
      </c>
      <c r="F46" t="s">
        <v>36</v>
      </c>
      <c r="G46" t="s">
        <v>22</v>
      </c>
      <c r="H46" t="s">
        <v>31</v>
      </c>
      <c r="I46" t="s">
        <v>16</v>
      </c>
      <c r="J46" t="str">
        <f t="shared" si="2"/>
        <v>Thursday</v>
      </c>
      <c r="K46">
        <f t="shared" si="0"/>
        <v>2000.0494999999999</v>
      </c>
      <c r="L46" t="str">
        <f t="shared" si="1"/>
        <v>2022</v>
      </c>
    </row>
    <row r="47" spans="1:12" hidden="1" x14ac:dyDescent="0.3">
      <c r="A47">
        <v>10502</v>
      </c>
      <c r="B47" s="1">
        <v>44882</v>
      </c>
      <c r="C47" t="s">
        <v>9</v>
      </c>
      <c r="D47">
        <v>3.49</v>
      </c>
      <c r="E47">
        <v>630.37</v>
      </c>
      <c r="F47" t="s">
        <v>36</v>
      </c>
      <c r="G47" t="s">
        <v>22</v>
      </c>
      <c r="H47" t="s">
        <v>31</v>
      </c>
      <c r="I47" t="s">
        <v>16</v>
      </c>
      <c r="J47" t="str">
        <f t="shared" si="2"/>
        <v>Thursday</v>
      </c>
      <c r="K47">
        <f t="shared" si="0"/>
        <v>2199.9913000000001</v>
      </c>
      <c r="L47" t="str">
        <f t="shared" si="1"/>
        <v>2022</v>
      </c>
    </row>
    <row r="48" spans="1:12" hidden="1" x14ac:dyDescent="0.3">
      <c r="A48">
        <v>10503</v>
      </c>
      <c r="B48" s="1">
        <v>44882</v>
      </c>
      <c r="C48" t="s">
        <v>14</v>
      </c>
      <c r="D48">
        <v>2.95</v>
      </c>
      <c r="E48">
        <v>677.97</v>
      </c>
      <c r="F48" t="s">
        <v>36</v>
      </c>
      <c r="G48" t="s">
        <v>22</v>
      </c>
      <c r="H48" t="s">
        <v>31</v>
      </c>
      <c r="I48" t="s">
        <v>16</v>
      </c>
      <c r="J48" t="str">
        <f t="shared" si="2"/>
        <v>Thursday</v>
      </c>
      <c r="K48">
        <f t="shared" si="0"/>
        <v>2000.0115000000003</v>
      </c>
      <c r="L48" t="str">
        <f t="shared" si="1"/>
        <v>2022</v>
      </c>
    </row>
    <row r="49" spans="1:12" hidden="1" x14ac:dyDescent="0.3">
      <c r="A49">
        <v>10504</v>
      </c>
      <c r="B49" s="1">
        <v>44882</v>
      </c>
      <c r="C49" t="s">
        <v>17</v>
      </c>
      <c r="D49">
        <v>4.99</v>
      </c>
      <c r="E49">
        <v>200.4</v>
      </c>
      <c r="F49" t="s">
        <v>36</v>
      </c>
      <c r="G49" t="s">
        <v>22</v>
      </c>
      <c r="H49" t="s">
        <v>31</v>
      </c>
      <c r="I49" t="s">
        <v>16</v>
      </c>
      <c r="J49" t="str">
        <f t="shared" si="2"/>
        <v>Thursday</v>
      </c>
      <c r="K49">
        <f t="shared" si="0"/>
        <v>999.99600000000009</v>
      </c>
      <c r="L49" t="str">
        <f t="shared" si="1"/>
        <v>2022</v>
      </c>
    </row>
    <row r="50" spans="1:12" hidden="1" x14ac:dyDescent="0.3">
      <c r="A50">
        <v>10505</v>
      </c>
      <c r="B50" s="1">
        <v>44883</v>
      </c>
      <c r="C50" t="s">
        <v>21</v>
      </c>
      <c r="D50">
        <v>12.99</v>
      </c>
      <c r="E50">
        <v>538.88</v>
      </c>
      <c r="F50" t="s">
        <v>36</v>
      </c>
      <c r="G50" t="s">
        <v>22</v>
      </c>
      <c r="H50" t="s">
        <v>31</v>
      </c>
      <c r="I50" t="s">
        <v>16</v>
      </c>
      <c r="J50" t="str">
        <f t="shared" si="2"/>
        <v>Friday</v>
      </c>
      <c r="K50">
        <f t="shared" si="0"/>
        <v>7000.0511999999999</v>
      </c>
      <c r="L50" t="str">
        <f t="shared" si="1"/>
        <v>2022</v>
      </c>
    </row>
    <row r="51" spans="1:12" hidden="1" x14ac:dyDescent="0.3">
      <c r="A51">
        <v>10506</v>
      </c>
      <c r="B51" s="1">
        <v>44883</v>
      </c>
      <c r="C51" t="s">
        <v>25</v>
      </c>
      <c r="D51">
        <v>9.9499999999999993</v>
      </c>
      <c r="E51">
        <v>201.01</v>
      </c>
      <c r="F51" t="s">
        <v>36</v>
      </c>
      <c r="G51" t="s">
        <v>22</v>
      </c>
      <c r="H51" t="s">
        <v>31</v>
      </c>
      <c r="I51" t="s">
        <v>16</v>
      </c>
      <c r="J51" t="str">
        <f t="shared" si="2"/>
        <v>Friday</v>
      </c>
      <c r="K51">
        <f t="shared" si="0"/>
        <v>2000.0494999999999</v>
      </c>
      <c r="L51" t="str">
        <f t="shared" si="1"/>
        <v>2022</v>
      </c>
    </row>
    <row r="52" spans="1:12" hidden="1" x14ac:dyDescent="0.3">
      <c r="A52">
        <v>10507</v>
      </c>
      <c r="B52" s="1">
        <v>44883</v>
      </c>
      <c r="C52" t="s">
        <v>9</v>
      </c>
      <c r="D52">
        <v>3.49</v>
      </c>
      <c r="E52">
        <v>687.68</v>
      </c>
      <c r="F52" t="s">
        <v>36</v>
      </c>
      <c r="G52" t="s">
        <v>22</v>
      </c>
      <c r="H52" t="s">
        <v>31</v>
      </c>
      <c r="I52" t="s">
        <v>16</v>
      </c>
      <c r="J52" t="str">
        <f t="shared" si="2"/>
        <v>Friday</v>
      </c>
      <c r="K52">
        <f t="shared" si="0"/>
        <v>2400.0032000000001</v>
      </c>
      <c r="L52" t="str">
        <f t="shared" si="1"/>
        <v>2022</v>
      </c>
    </row>
    <row r="53" spans="1:12" hidden="1" x14ac:dyDescent="0.3">
      <c r="A53">
        <v>10508</v>
      </c>
      <c r="B53" s="1">
        <v>44883</v>
      </c>
      <c r="C53" t="s">
        <v>14</v>
      </c>
      <c r="D53">
        <v>2.95</v>
      </c>
      <c r="E53">
        <v>677.97</v>
      </c>
      <c r="F53" t="s">
        <v>36</v>
      </c>
      <c r="G53" t="s">
        <v>22</v>
      </c>
      <c r="H53" t="s">
        <v>31</v>
      </c>
      <c r="I53" t="s">
        <v>16</v>
      </c>
      <c r="J53" t="str">
        <f t="shared" si="2"/>
        <v>Friday</v>
      </c>
      <c r="K53">
        <f t="shared" si="0"/>
        <v>2000.0115000000003</v>
      </c>
      <c r="L53" t="str">
        <f t="shared" si="1"/>
        <v>2022</v>
      </c>
    </row>
    <row r="54" spans="1:12" hidden="1" x14ac:dyDescent="0.3">
      <c r="A54">
        <v>10509</v>
      </c>
      <c r="B54" s="1">
        <v>44883</v>
      </c>
      <c r="C54" t="s">
        <v>17</v>
      </c>
      <c r="D54">
        <v>4.99</v>
      </c>
      <c r="E54">
        <v>200.4</v>
      </c>
      <c r="F54" t="s">
        <v>36</v>
      </c>
      <c r="G54" t="s">
        <v>22</v>
      </c>
      <c r="H54" t="s">
        <v>31</v>
      </c>
      <c r="I54" t="s">
        <v>16</v>
      </c>
      <c r="J54" t="str">
        <f t="shared" si="2"/>
        <v>Friday</v>
      </c>
      <c r="K54">
        <f t="shared" si="0"/>
        <v>999.99600000000009</v>
      </c>
      <c r="L54" t="str">
        <f t="shared" si="1"/>
        <v>2022</v>
      </c>
    </row>
    <row r="55" spans="1:12" hidden="1" x14ac:dyDescent="0.3">
      <c r="A55">
        <v>10510</v>
      </c>
      <c r="B55" s="1">
        <v>44884</v>
      </c>
      <c r="C55" t="s">
        <v>21</v>
      </c>
      <c r="D55">
        <v>12.99</v>
      </c>
      <c r="E55">
        <v>508.08</v>
      </c>
      <c r="F55" t="s">
        <v>36</v>
      </c>
      <c r="G55" t="s">
        <v>22</v>
      </c>
      <c r="H55" t="s">
        <v>31</v>
      </c>
      <c r="I55" t="s">
        <v>16</v>
      </c>
      <c r="J55" t="str">
        <f t="shared" si="2"/>
        <v>Saturday</v>
      </c>
      <c r="K55">
        <f t="shared" si="0"/>
        <v>6599.9592000000002</v>
      </c>
      <c r="L55" t="str">
        <f t="shared" si="1"/>
        <v>2022</v>
      </c>
    </row>
    <row r="56" spans="1:12" hidden="1" x14ac:dyDescent="0.3">
      <c r="A56">
        <v>10511</v>
      </c>
      <c r="B56" s="1">
        <v>44884</v>
      </c>
      <c r="C56" t="s">
        <v>25</v>
      </c>
      <c r="D56">
        <v>9.9499999999999993</v>
      </c>
      <c r="E56">
        <v>201.01</v>
      </c>
      <c r="F56" t="s">
        <v>36</v>
      </c>
      <c r="G56" t="s">
        <v>22</v>
      </c>
      <c r="H56" t="s">
        <v>35</v>
      </c>
      <c r="I56" t="s">
        <v>20</v>
      </c>
      <c r="J56" t="str">
        <f t="shared" si="2"/>
        <v>Saturday</v>
      </c>
      <c r="K56">
        <f t="shared" si="0"/>
        <v>2000.0494999999999</v>
      </c>
      <c r="L56" t="str">
        <f t="shared" si="1"/>
        <v>2022</v>
      </c>
    </row>
    <row r="57" spans="1:12" hidden="1" x14ac:dyDescent="0.3">
      <c r="A57">
        <v>10512</v>
      </c>
      <c r="B57" s="1">
        <v>44884</v>
      </c>
      <c r="C57" t="s">
        <v>9</v>
      </c>
      <c r="D57">
        <v>3.49</v>
      </c>
      <c r="E57">
        <v>687.68</v>
      </c>
      <c r="F57" t="s">
        <v>36</v>
      </c>
      <c r="G57" t="s">
        <v>22</v>
      </c>
      <c r="H57" t="s">
        <v>35</v>
      </c>
      <c r="I57" t="s">
        <v>20</v>
      </c>
      <c r="J57" t="str">
        <f t="shared" si="2"/>
        <v>Saturday</v>
      </c>
      <c r="K57">
        <f t="shared" si="0"/>
        <v>2400.0032000000001</v>
      </c>
      <c r="L57" t="str">
        <f t="shared" si="1"/>
        <v>2022</v>
      </c>
    </row>
    <row r="58" spans="1:12" hidden="1" x14ac:dyDescent="0.3">
      <c r="A58">
        <v>10513</v>
      </c>
      <c r="B58" s="1">
        <v>44884</v>
      </c>
      <c r="C58" t="s">
        <v>14</v>
      </c>
      <c r="D58">
        <v>2.95</v>
      </c>
      <c r="E58">
        <v>677.97</v>
      </c>
      <c r="F58" t="s">
        <v>36</v>
      </c>
      <c r="G58" t="s">
        <v>37</v>
      </c>
      <c r="H58" t="s">
        <v>35</v>
      </c>
      <c r="I58" t="s">
        <v>20</v>
      </c>
      <c r="J58" t="str">
        <f t="shared" si="2"/>
        <v>Saturday</v>
      </c>
      <c r="K58">
        <f t="shared" si="0"/>
        <v>2000.0115000000003</v>
      </c>
      <c r="L58" t="str">
        <f t="shared" si="1"/>
        <v>2022</v>
      </c>
    </row>
    <row r="59" spans="1:12" hidden="1" x14ac:dyDescent="0.3">
      <c r="A59">
        <v>10514</v>
      </c>
      <c r="B59" s="1">
        <v>44884</v>
      </c>
      <c r="C59" t="s">
        <v>17</v>
      </c>
      <c r="D59">
        <v>4.99</v>
      </c>
      <c r="E59">
        <v>200.4</v>
      </c>
      <c r="F59" t="s">
        <v>36</v>
      </c>
      <c r="G59" t="s">
        <v>37</v>
      </c>
      <c r="H59" t="s">
        <v>35</v>
      </c>
      <c r="I59" t="s">
        <v>20</v>
      </c>
      <c r="J59" t="str">
        <f t="shared" si="2"/>
        <v>Saturday</v>
      </c>
      <c r="K59">
        <f t="shared" si="0"/>
        <v>999.99600000000009</v>
      </c>
      <c r="L59" t="str">
        <f t="shared" si="1"/>
        <v>2022</v>
      </c>
    </row>
    <row r="60" spans="1:12" hidden="1" x14ac:dyDescent="0.3">
      <c r="A60">
        <v>10515</v>
      </c>
      <c r="B60" s="1">
        <v>44885</v>
      </c>
      <c r="C60" t="s">
        <v>21</v>
      </c>
      <c r="D60">
        <v>12.99</v>
      </c>
      <c r="E60">
        <v>477.29</v>
      </c>
      <c r="F60" t="s">
        <v>36</v>
      </c>
      <c r="G60" t="s">
        <v>37</v>
      </c>
      <c r="H60" t="s">
        <v>35</v>
      </c>
      <c r="I60" t="s">
        <v>20</v>
      </c>
      <c r="J60" t="str">
        <f t="shared" si="2"/>
        <v>Sunday</v>
      </c>
      <c r="K60">
        <f t="shared" si="0"/>
        <v>6199.9971000000005</v>
      </c>
      <c r="L60" t="str">
        <f t="shared" si="1"/>
        <v>2022</v>
      </c>
    </row>
    <row r="61" spans="1:12" hidden="1" x14ac:dyDescent="0.3">
      <c r="A61">
        <v>10516</v>
      </c>
      <c r="B61" s="1">
        <v>44885</v>
      </c>
      <c r="C61" t="s">
        <v>25</v>
      </c>
      <c r="D61">
        <v>9.9499999999999993</v>
      </c>
      <c r="E61">
        <v>201.01</v>
      </c>
      <c r="F61" t="s">
        <v>36</v>
      </c>
      <c r="G61" t="s">
        <v>37</v>
      </c>
      <c r="H61" t="s">
        <v>35</v>
      </c>
      <c r="I61" t="s">
        <v>20</v>
      </c>
      <c r="J61" t="str">
        <f t="shared" si="2"/>
        <v>Sunday</v>
      </c>
      <c r="K61">
        <f t="shared" si="0"/>
        <v>2000.0494999999999</v>
      </c>
      <c r="L61" t="str">
        <f t="shared" si="1"/>
        <v>2022</v>
      </c>
    </row>
    <row r="62" spans="1:12" hidden="1" x14ac:dyDescent="0.3">
      <c r="A62">
        <v>10483</v>
      </c>
      <c r="B62" s="1">
        <v>44878</v>
      </c>
      <c r="C62" t="s">
        <v>14</v>
      </c>
      <c r="D62">
        <v>2.95</v>
      </c>
      <c r="E62">
        <v>677.97</v>
      </c>
      <c r="F62" t="s">
        <v>18</v>
      </c>
      <c r="G62" t="s">
        <v>22</v>
      </c>
      <c r="H62" t="s">
        <v>19</v>
      </c>
      <c r="I62" t="s">
        <v>20</v>
      </c>
      <c r="J62" t="str">
        <f t="shared" si="2"/>
        <v>Sunday</v>
      </c>
      <c r="K62">
        <f t="shared" si="0"/>
        <v>2000.0115000000003</v>
      </c>
      <c r="L62" t="str">
        <f t="shared" si="1"/>
        <v>2022</v>
      </c>
    </row>
    <row r="63" spans="1:12" hidden="1" x14ac:dyDescent="0.3">
      <c r="A63">
        <v>10484</v>
      </c>
      <c r="B63" s="1">
        <v>44878</v>
      </c>
      <c r="C63" t="s">
        <v>17</v>
      </c>
      <c r="D63">
        <v>4.99</v>
      </c>
      <c r="E63">
        <v>200.4</v>
      </c>
      <c r="F63" t="s">
        <v>18</v>
      </c>
      <c r="G63" t="s">
        <v>22</v>
      </c>
      <c r="H63" t="s">
        <v>19</v>
      </c>
      <c r="I63" t="s">
        <v>20</v>
      </c>
      <c r="J63" t="str">
        <f t="shared" si="2"/>
        <v>Sunday</v>
      </c>
      <c r="K63">
        <f t="shared" si="0"/>
        <v>999.99600000000009</v>
      </c>
      <c r="L63" t="str">
        <f t="shared" si="1"/>
        <v>2022</v>
      </c>
    </row>
    <row r="64" spans="1:12" hidden="1" x14ac:dyDescent="0.3">
      <c r="A64">
        <v>10485</v>
      </c>
      <c r="B64" s="1">
        <v>44879</v>
      </c>
      <c r="C64" t="s">
        <v>21</v>
      </c>
      <c r="D64">
        <v>12.99</v>
      </c>
      <c r="E64">
        <v>523.48</v>
      </c>
      <c r="F64" t="s">
        <v>18</v>
      </c>
      <c r="G64" t="s">
        <v>22</v>
      </c>
      <c r="H64" t="s">
        <v>19</v>
      </c>
      <c r="I64" t="s">
        <v>20</v>
      </c>
      <c r="J64" t="str">
        <f t="shared" si="2"/>
        <v>Monday</v>
      </c>
      <c r="K64">
        <f t="shared" si="0"/>
        <v>6800.0052000000005</v>
      </c>
      <c r="L64" t="str">
        <f t="shared" si="1"/>
        <v>2022</v>
      </c>
    </row>
    <row r="65" spans="1:12" hidden="1" x14ac:dyDescent="0.3">
      <c r="A65">
        <v>10520</v>
      </c>
      <c r="B65" s="1">
        <v>44886</v>
      </c>
      <c r="C65" t="s">
        <v>21</v>
      </c>
      <c r="D65">
        <v>12.99</v>
      </c>
      <c r="E65">
        <v>492.69</v>
      </c>
      <c r="F65" t="s">
        <v>36</v>
      </c>
      <c r="G65" t="s">
        <v>37</v>
      </c>
      <c r="H65" t="s">
        <v>28</v>
      </c>
      <c r="I65" t="s">
        <v>27</v>
      </c>
      <c r="J65" t="str">
        <f t="shared" si="2"/>
        <v>Monday</v>
      </c>
      <c r="K65">
        <f t="shared" si="0"/>
        <v>6400.0430999999999</v>
      </c>
      <c r="L65" t="str">
        <f t="shared" si="1"/>
        <v>2022</v>
      </c>
    </row>
    <row r="66" spans="1:12" hidden="1" x14ac:dyDescent="0.3">
      <c r="A66">
        <v>10521</v>
      </c>
      <c r="B66" s="1">
        <v>44886</v>
      </c>
      <c r="C66" t="s">
        <v>25</v>
      </c>
      <c r="D66">
        <v>9.9499999999999993</v>
      </c>
      <c r="E66">
        <v>201.01</v>
      </c>
      <c r="F66" t="s">
        <v>36</v>
      </c>
      <c r="G66" t="s">
        <v>37</v>
      </c>
      <c r="H66" t="s">
        <v>28</v>
      </c>
      <c r="I66" t="s">
        <v>27</v>
      </c>
      <c r="J66" t="str">
        <f t="shared" ref="J66:J129" si="3">TEXT(B66,"dddd")</f>
        <v>Monday</v>
      </c>
      <c r="K66">
        <f t="shared" ref="K66:K129" si="4">D66*E66</f>
        <v>2000.0494999999999</v>
      </c>
      <c r="L66" t="str">
        <f t="shared" ref="L66:L129" si="5">TEXT(B66,"yyyy")</f>
        <v>2022</v>
      </c>
    </row>
    <row r="67" spans="1:12" hidden="1" x14ac:dyDescent="0.3">
      <c r="A67">
        <v>10522</v>
      </c>
      <c r="B67" s="1">
        <v>44886</v>
      </c>
      <c r="C67" t="s">
        <v>9</v>
      </c>
      <c r="D67">
        <v>3.49</v>
      </c>
      <c r="E67">
        <v>687.68</v>
      </c>
      <c r="F67" t="s">
        <v>36</v>
      </c>
      <c r="G67" t="s">
        <v>37</v>
      </c>
      <c r="H67" t="s">
        <v>28</v>
      </c>
      <c r="I67" t="s">
        <v>27</v>
      </c>
      <c r="J67" t="str">
        <f t="shared" si="3"/>
        <v>Monday</v>
      </c>
      <c r="K67">
        <f t="shared" si="4"/>
        <v>2400.0032000000001</v>
      </c>
      <c r="L67" t="str">
        <f t="shared" si="5"/>
        <v>2022</v>
      </c>
    </row>
    <row r="68" spans="1:12" hidden="1" x14ac:dyDescent="0.3">
      <c r="A68">
        <v>10523</v>
      </c>
      <c r="B68" s="1">
        <v>44886</v>
      </c>
      <c r="C68" t="s">
        <v>14</v>
      </c>
      <c r="D68">
        <v>2.95</v>
      </c>
      <c r="E68">
        <v>745.76</v>
      </c>
      <c r="F68" t="s">
        <v>36</v>
      </c>
      <c r="G68" t="s">
        <v>37</v>
      </c>
      <c r="H68" t="s">
        <v>28</v>
      </c>
      <c r="I68" t="s">
        <v>27</v>
      </c>
      <c r="J68" t="str">
        <f t="shared" si="3"/>
        <v>Monday</v>
      </c>
      <c r="K68">
        <f t="shared" si="4"/>
        <v>2199.9920000000002</v>
      </c>
      <c r="L68" t="str">
        <f t="shared" si="5"/>
        <v>2022</v>
      </c>
    </row>
    <row r="69" spans="1:12" hidden="1" x14ac:dyDescent="0.3">
      <c r="A69">
        <v>10524</v>
      </c>
      <c r="B69" s="1">
        <v>44886</v>
      </c>
      <c r="C69" t="s">
        <v>17</v>
      </c>
      <c r="D69">
        <v>4.99</v>
      </c>
      <c r="E69">
        <v>200.4</v>
      </c>
      <c r="F69" t="s">
        <v>36</v>
      </c>
      <c r="G69" t="s">
        <v>37</v>
      </c>
      <c r="H69" t="s">
        <v>28</v>
      </c>
      <c r="I69" t="s">
        <v>27</v>
      </c>
      <c r="J69" t="str">
        <f t="shared" si="3"/>
        <v>Monday</v>
      </c>
      <c r="K69">
        <f t="shared" si="4"/>
        <v>999.99600000000009</v>
      </c>
      <c r="L69" t="str">
        <f t="shared" si="5"/>
        <v>2022</v>
      </c>
    </row>
    <row r="70" spans="1:12" hidden="1" x14ac:dyDescent="0.3">
      <c r="A70">
        <v>10525</v>
      </c>
      <c r="B70" s="1">
        <v>44887</v>
      </c>
      <c r="C70" t="s">
        <v>21</v>
      </c>
      <c r="D70">
        <v>12.99</v>
      </c>
      <c r="E70">
        <v>461.89</v>
      </c>
      <c r="F70" t="s">
        <v>36</v>
      </c>
      <c r="G70" t="s">
        <v>37</v>
      </c>
      <c r="H70" t="s">
        <v>28</v>
      </c>
      <c r="I70" t="s">
        <v>27</v>
      </c>
      <c r="J70" t="str">
        <f t="shared" si="3"/>
        <v>Tuesday</v>
      </c>
      <c r="K70">
        <f t="shared" si="4"/>
        <v>5999.9511000000002</v>
      </c>
      <c r="L70" t="str">
        <f t="shared" si="5"/>
        <v>2022</v>
      </c>
    </row>
    <row r="71" spans="1:12" hidden="1" x14ac:dyDescent="0.3">
      <c r="A71">
        <v>10526</v>
      </c>
      <c r="B71" s="1">
        <v>44887</v>
      </c>
      <c r="C71" t="s">
        <v>25</v>
      </c>
      <c r="D71">
        <v>9.9499999999999993</v>
      </c>
      <c r="E71">
        <v>201.01</v>
      </c>
      <c r="F71" t="s">
        <v>36</v>
      </c>
      <c r="G71" t="s">
        <v>37</v>
      </c>
      <c r="H71" t="s">
        <v>28</v>
      </c>
      <c r="I71" t="s">
        <v>27</v>
      </c>
      <c r="J71" t="str">
        <f t="shared" si="3"/>
        <v>Tuesday</v>
      </c>
      <c r="K71">
        <f t="shared" si="4"/>
        <v>2000.0494999999999</v>
      </c>
      <c r="L71" t="str">
        <f t="shared" si="5"/>
        <v>2022</v>
      </c>
    </row>
    <row r="72" spans="1:12" hidden="1" x14ac:dyDescent="0.3">
      <c r="A72">
        <v>10527</v>
      </c>
      <c r="B72" s="1">
        <v>44887</v>
      </c>
      <c r="C72" t="s">
        <v>9</v>
      </c>
      <c r="D72">
        <v>3.49</v>
      </c>
      <c r="E72">
        <v>687.68</v>
      </c>
      <c r="F72" t="s">
        <v>36</v>
      </c>
      <c r="G72" t="s">
        <v>37</v>
      </c>
      <c r="H72" t="s">
        <v>28</v>
      </c>
      <c r="I72" t="s">
        <v>27</v>
      </c>
      <c r="J72" t="str">
        <f t="shared" si="3"/>
        <v>Tuesday</v>
      </c>
      <c r="K72">
        <f t="shared" si="4"/>
        <v>2400.0032000000001</v>
      </c>
      <c r="L72" t="str">
        <f t="shared" si="5"/>
        <v>2022</v>
      </c>
    </row>
    <row r="73" spans="1:12" hidden="1" x14ac:dyDescent="0.3">
      <c r="A73">
        <v>10528</v>
      </c>
      <c r="B73" s="1">
        <v>44887</v>
      </c>
      <c r="C73" t="s">
        <v>14</v>
      </c>
      <c r="D73">
        <v>2.95</v>
      </c>
      <c r="E73">
        <v>745.76</v>
      </c>
      <c r="F73" t="s">
        <v>36</v>
      </c>
      <c r="G73" t="s">
        <v>37</v>
      </c>
      <c r="H73" t="s">
        <v>28</v>
      </c>
      <c r="I73" t="s">
        <v>27</v>
      </c>
      <c r="J73" t="str">
        <f t="shared" si="3"/>
        <v>Tuesday</v>
      </c>
      <c r="K73">
        <f t="shared" si="4"/>
        <v>2199.9920000000002</v>
      </c>
      <c r="L73" t="str">
        <f t="shared" si="5"/>
        <v>2022</v>
      </c>
    </row>
    <row r="74" spans="1:12" hidden="1" x14ac:dyDescent="0.3">
      <c r="A74">
        <v>10529</v>
      </c>
      <c r="B74" s="1">
        <v>44887</v>
      </c>
      <c r="C74" t="s">
        <v>17</v>
      </c>
      <c r="D74">
        <v>4.99</v>
      </c>
      <c r="E74">
        <v>200.4</v>
      </c>
      <c r="F74" t="s">
        <v>36</v>
      </c>
      <c r="G74" t="s">
        <v>37</v>
      </c>
      <c r="H74" t="s">
        <v>28</v>
      </c>
      <c r="I74" t="s">
        <v>27</v>
      </c>
      <c r="J74" t="str">
        <f t="shared" si="3"/>
        <v>Tuesday</v>
      </c>
      <c r="K74">
        <f t="shared" si="4"/>
        <v>999.99600000000009</v>
      </c>
      <c r="L74" t="str">
        <f t="shared" si="5"/>
        <v>2022</v>
      </c>
    </row>
    <row r="75" spans="1:12" hidden="1" x14ac:dyDescent="0.3">
      <c r="A75">
        <v>10530</v>
      </c>
      <c r="B75" s="1">
        <v>44888</v>
      </c>
      <c r="C75" t="s">
        <v>21</v>
      </c>
      <c r="D75">
        <v>12.99</v>
      </c>
      <c r="E75">
        <v>477.29</v>
      </c>
      <c r="F75" t="s">
        <v>36</v>
      </c>
      <c r="G75" t="s">
        <v>37</v>
      </c>
      <c r="H75" t="s">
        <v>28</v>
      </c>
      <c r="I75" t="s">
        <v>27</v>
      </c>
      <c r="J75" t="str">
        <f t="shared" si="3"/>
        <v>Wednesday</v>
      </c>
      <c r="K75">
        <f t="shared" si="4"/>
        <v>6199.9971000000005</v>
      </c>
      <c r="L75" t="str">
        <f t="shared" si="5"/>
        <v>2022</v>
      </c>
    </row>
    <row r="76" spans="1:12" hidden="1" x14ac:dyDescent="0.3">
      <c r="A76">
        <v>10531</v>
      </c>
      <c r="B76" s="1">
        <v>44888</v>
      </c>
      <c r="C76" t="s">
        <v>25</v>
      </c>
      <c r="D76">
        <v>9.9499999999999993</v>
      </c>
      <c r="E76">
        <v>201.01</v>
      </c>
      <c r="F76" t="s">
        <v>36</v>
      </c>
      <c r="G76" t="s">
        <v>37</v>
      </c>
      <c r="H76" t="s">
        <v>28</v>
      </c>
      <c r="I76" t="s">
        <v>27</v>
      </c>
      <c r="J76" t="str">
        <f t="shared" si="3"/>
        <v>Wednesday</v>
      </c>
      <c r="K76">
        <f t="shared" si="4"/>
        <v>2000.0494999999999</v>
      </c>
      <c r="L76" t="str">
        <f t="shared" si="5"/>
        <v>2022</v>
      </c>
    </row>
    <row r="77" spans="1:12" hidden="1" x14ac:dyDescent="0.3">
      <c r="A77">
        <v>10532</v>
      </c>
      <c r="B77" s="1">
        <v>44888</v>
      </c>
      <c r="C77" t="s">
        <v>9</v>
      </c>
      <c r="D77">
        <v>3.49</v>
      </c>
      <c r="E77">
        <v>687.68</v>
      </c>
      <c r="F77" t="s">
        <v>36</v>
      </c>
      <c r="G77" t="s">
        <v>37</v>
      </c>
      <c r="H77" t="s">
        <v>35</v>
      </c>
      <c r="I77" t="s">
        <v>20</v>
      </c>
      <c r="J77" t="str">
        <f t="shared" si="3"/>
        <v>Wednesday</v>
      </c>
      <c r="K77">
        <f t="shared" si="4"/>
        <v>2400.0032000000001</v>
      </c>
      <c r="L77" t="str">
        <f t="shared" si="5"/>
        <v>2022</v>
      </c>
    </row>
    <row r="78" spans="1:12" hidden="1" x14ac:dyDescent="0.3">
      <c r="A78">
        <v>10533</v>
      </c>
      <c r="B78" s="1">
        <v>44888</v>
      </c>
      <c r="C78" t="s">
        <v>14</v>
      </c>
      <c r="D78">
        <v>2.95</v>
      </c>
      <c r="E78">
        <v>745.76</v>
      </c>
      <c r="F78" t="s">
        <v>36</v>
      </c>
      <c r="G78" t="s">
        <v>37</v>
      </c>
      <c r="H78" t="s">
        <v>35</v>
      </c>
      <c r="I78" t="s">
        <v>20</v>
      </c>
      <c r="J78" t="str">
        <f t="shared" si="3"/>
        <v>Wednesday</v>
      </c>
      <c r="K78">
        <f t="shared" si="4"/>
        <v>2199.9920000000002</v>
      </c>
      <c r="L78" t="str">
        <f t="shared" si="5"/>
        <v>2022</v>
      </c>
    </row>
    <row r="79" spans="1:12" hidden="1" x14ac:dyDescent="0.3">
      <c r="A79">
        <v>10534</v>
      </c>
      <c r="B79" s="1">
        <v>44888</v>
      </c>
      <c r="C79" t="s">
        <v>17</v>
      </c>
      <c r="D79">
        <v>4.99</v>
      </c>
      <c r="E79">
        <v>200.4</v>
      </c>
      <c r="F79" t="s">
        <v>36</v>
      </c>
      <c r="G79" t="s">
        <v>37</v>
      </c>
      <c r="H79" t="s">
        <v>31</v>
      </c>
      <c r="I79" t="s">
        <v>16</v>
      </c>
      <c r="J79" t="str">
        <f t="shared" si="3"/>
        <v>Wednesday</v>
      </c>
      <c r="K79">
        <f t="shared" si="4"/>
        <v>999.99600000000009</v>
      </c>
      <c r="L79" t="str">
        <f t="shared" si="5"/>
        <v>2022</v>
      </c>
    </row>
    <row r="80" spans="1:12" hidden="1" x14ac:dyDescent="0.3">
      <c r="A80">
        <v>10535</v>
      </c>
      <c r="B80" s="1">
        <v>44889</v>
      </c>
      <c r="C80" t="s">
        <v>21</v>
      </c>
      <c r="D80">
        <v>12.99</v>
      </c>
      <c r="E80">
        <v>477.29</v>
      </c>
      <c r="F80" t="s">
        <v>36</v>
      </c>
      <c r="G80" t="s">
        <v>22</v>
      </c>
      <c r="H80" t="s">
        <v>31</v>
      </c>
      <c r="I80" t="s">
        <v>16</v>
      </c>
      <c r="J80" t="str">
        <f t="shared" si="3"/>
        <v>Thursday</v>
      </c>
      <c r="K80">
        <f t="shared" si="4"/>
        <v>6199.9971000000005</v>
      </c>
      <c r="L80" t="str">
        <f t="shared" si="5"/>
        <v>2022</v>
      </c>
    </row>
    <row r="81" spans="1:12" hidden="1" x14ac:dyDescent="0.3">
      <c r="A81">
        <v>10536</v>
      </c>
      <c r="B81" s="1">
        <v>44889</v>
      </c>
      <c r="C81" t="s">
        <v>25</v>
      </c>
      <c r="D81">
        <v>9.9499999999999993</v>
      </c>
      <c r="E81">
        <v>201.01</v>
      </c>
      <c r="F81" t="s">
        <v>36</v>
      </c>
      <c r="G81" t="s">
        <v>22</v>
      </c>
      <c r="H81" t="s">
        <v>31</v>
      </c>
      <c r="I81" t="s">
        <v>16</v>
      </c>
      <c r="J81" t="str">
        <f t="shared" si="3"/>
        <v>Thursday</v>
      </c>
      <c r="K81">
        <f t="shared" si="4"/>
        <v>2000.0494999999999</v>
      </c>
      <c r="L81" t="str">
        <f t="shared" si="5"/>
        <v>2022</v>
      </c>
    </row>
    <row r="82" spans="1:12" hidden="1" x14ac:dyDescent="0.3">
      <c r="A82">
        <v>10540</v>
      </c>
      <c r="B82" s="1">
        <v>44890</v>
      </c>
      <c r="C82" t="s">
        <v>21</v>
      </c>
      <c r="D82">
        <v>12.99</v>
      </c>
      <c r="E82">
        <v>461.89</v>
      </c>
      <c r="F82" t="s">
        <v>36</v>
      </c>
      <c r="G82" t="s">
        <v>22</v>
      </c>
      <c r="H82" t="s">
        <v>31</v>
      </c>
      <c r="I82" t="s">
        <v>16</v>
      </c>
      <c r="J82" t="str">
        <f t="shared" si="3"/>
        <v>Friday</v>
      </c>
      <c r="K82">
        <f t="shared" si="4"/>
        <v>5999.9511000000002</v>
      </c>
      <c r="L82" t="str">
        <f t="shared" si="5"/>
        <v>2022</v>
      </c>
    </row>
    <row r="83" spans="1:12" hidden="1" x14ac:dyDescent="0.3">
      <c r="A83">
        <v>10541</v>
      </c>
      <c r="B83" s="1">
        <v>44890</v>
      </c>
      <c r="C83" t="s">
        <v>25</v>
      </c>
      <c r="D83">
        <v>9.9499999999999993</v>
      </c>
      <c r="E83">
        <v>201.01</v>
      </c>
      <c r="F83" t="s">
        <v>36</v>
      </c>
      <c r="G83" t="s">
        <v>22</v>
      </c>
      <c r="H83" t="s">
        <v>38</v>
      </c>
      <c r="I83" t="s">
        <v>13</v>
      </c>
      <c r="J83" t="str">
        <f t="shared" si="3"/>
        <v>Friday</v>
      </c>
      <c r="K83">
        <f t="shared" si="4"/>
        <v>2000.0494999999999</v>
      </c>
      <c r="L83" t="str">
        <f t="shared" si="5"/>
        <v>2022</v>
      </c>
    </row>
    <row r="84" spans="1:12" hidden="1" x14ac:dyDescent="0.3">
      <c r="A84">
        <v>10542</v>
      </c>
      <c r="B84" s="1">
        <v>44890</v>
      </c>
      <c r="C84" t="s">
        <v>9</v>
      </c>
      <c r="D84">
        <v>3.49</v>
      </c>
      <c r="E84">
        <v>630.37</v>
      </c>
      <c r="F84" t="s">
        <v>36</v>
      </c>
      <c r="G84" t="s">
        <v>22</v>
      </c>
      <c r="H84" t="s">
        <v>38</v>
      </c>
      <c r="I84" t="s">
        <v>13</v>
      </c>
      <c r="J84" t="str">
        <f t="shared" si="3"/>
        <v>Friday</v>
      </c>
      <c r="K84">
        <f t="shared" si="4"/>
        <v>2199.9913000000001</v>
      </c>
      <c r="L84" t="str">
        <f t="shared" si="5"/>
        <v>2022</v>
      </c>
    </row>
    <row r="85" spans="1:12" hidden="1" x14ac:dyDescent="0.3">
      <c r="A85">
        <v>10543</v>
      </c>
      <c r="B85" s="1">
        <v>44890</v>
      </c>
      <c r="C85" t="s">
        <v>14</v>
      </c>
      <c r="D85">
        <v>2.95</v>
      </c>
      <c r="E85">
        <v>745.76</v>
      </c>
      <c r="F85" t="s">
        <v>36</v>
      </c>
      <c r="G85" t="s">
        <v>22</v>
      </c>
      <c r="H85" t="s">
        <v>38</v>
      </c>
      <c r="I85" t="s">
        <v>13</v>
      </c>
      <c r="J85" t="str">
        <f t="shared" si="3"/>
        <v>Friday</v>
      </c>
      <c r="K85">
        <f t="shared" si="4"/>
        <v>2199.9920000000002</v>
      </c>
      <c r="L85" t="str">
        <f t="shared" si="5"/>
        <v>2022</v>
      </c>
    </row>
    <row r="86" spans="1:12" hidden="1" x14ac:dyDescent="0.3">
      <c r="A86">
        <v>10544</v>
      </c>
      <c r="B86" s="1">
        <v>44890</v>
      </c>
      <c r="C86" t="s">
        <v>17</v>
      </c>
      <c r="D86">
        <v>4.99</v>
      </c>
      <c r="E86">
        <v>200.4</v>
      </c>
      <c r="F86" t="s">
        <v>36</v>
      </c>
      <c r="G86" t="s">
        <v>22</v>
      </c>
      <c r="H86" t="s">
        <v>38</v>
      </c>
      <c r="I86" t="s">
        <v>13</v>
      </c>
      <c r="J86" t="str">
        <f t="shared" si="3"/>
        <v>Friday</v>
      </c>
      <c r="K86">
        <f t="shared" si="4"/>
        <v>999.99600000000009</v>
      </c>
      <c r="L86" t="str">
        <f t="shared" si="5"/>
        <v>2022</v>
      </c>
    </row>
    <row r="87" spans="1:12" hidden="1" x14ac:dyDescent="0.3">
      <c r="A87">
        <v>10545</v>
      </c>
      <c r="B87" s="1">
        <v>44891</v>
      </c>
      <c r="C87" t="s">
        <v>21</v>
      </c>
      <c r="D87">
        <v>12.99</v>
      </c>
      <c r="E87">
        <v>446.5</v>
      </c>
      <c r="F87" t="s">
        <v>36</v>
      </c>
      <c r="G87" t="s">
        <v>22</v>
      </c>
      <c r="H87" t="s">
        <v>38</v>
      </c>
      <c r="I87" t="s">
        <v>13</v>
      </c>
      <c r="J87" t="str">
        <f t="shared" si="3"/>
        <v>Saturday</v>
      </c>
      <c r="K87">
        <f t="shared" si="4"/>
        <v>5800.0349999999999</v>
      </c>
      <c r="L87" t="str">
        <f t="shared" si="5"/>
        <v>2022</v>
      </c>
    </row>
    <row r="88" spans="1:12" hidden="1" x14ac:dyDescent="0.3">
      <c r="A88">
        <v>10546</v>
      </c>
      <c r="B88" s="1">
        <v>44891</v>
      </c>
      <c r="C88" t="s">
        <v>25</v>
      </c>
      <c r="D88">
        <v>9.9499999999999993</v>
      </c>
      <c r="E88">
        <v>201.01</v>
      </c>
      <c r="F88" t="s">
        <v>36</v>
      </c>
      <c r="G88" t="s">
        <v>22</v>
      </c>
      <c r="H88" t="s">
        <v>38</v>
      </c>
      <c r="I88" t="s">
        <v>13</v>
      </c>
      <c r="J88" t="str">
        <f t="shared" si="3"/>
        <v>Saturday</v>
      </c>
      <c r="K88">
        <f t="shared" si="4"/>
        <v>2000.0494999999999</v>
      </c>
      <c r="L88" t="str">
        <f t="shared" si="5"/>
        <v>2022</v>
      </c>
    </row>
    <row r="89" spans="1:12" hidden="1" x14ac:dyDescent="0.3">
      <c r="A89">
        <v>10547</v>
      </c>
      <c r="B89" s="1">
        <v>44891</v>
      </c>
      <c r="C89" t="s">
        <v>9</v>
      </c>
      <c r="D89">
        <v>3.49</v>
      </c>
      <c r="E89">
        <v>630.37</v>
      </c>
      <c r="F89" t="s">
        <v>36</v>
      </c>
      <c r="G89" t="s">
        <v>22</v>
      </c>
      <c r="H89" t="s">
        <v>38</v>
      </c>
      <c r="I89" t="s">
        <v>13</v>
      </c>
      <c r="J89" t="str">
        <f t="shared" si="3"/>
        <v>Saturday</v>
      </c>
      <c r="K89">
        <f t="shared" si="4"/>
        <v>2199.9913000000001</v>
      </c>
      <c r="L89" t="str">
        <f t="shared" si="5"/>
        <v>2022</v>
      </c>
    </row>
    <row r="90" spans="1:12" hidden="1" x14ac:dyDescent="0.3">
      <c r="A90">
        <v>10548</v>
      </c>
      <c r="B90" s="1">
        <v>44891</v>
      </c>
      <c r="C90" t="s">
        <v>14</v>
      </c>
      <c r="D90">
        <v>2.95</v>
      </c>
      <c r="E90">
        <v>745.76</v>
      </c>
      <c r="F90" t="s">
        <v>36</v>
      </c>
      <c r="G90" t="s">
        <v>22</v>
      </c>
      <c r="H90" t="s">
        <v>38</v>
      </c>
      <c r="I90" t="s">
        <v>13</v>
      </c>
      <c r="J90" t="str">
        <f t="shared" si="3"/>
        <v>Saturday</v>
      </c>
      <c r="K90">
        <f t="shared" si="4"/>
        <v>2199.9920000000002</v>
      </c>
      <c r="L90" t="str">
        <f t="shared" si="5"/>
        <v>2022</v>
      </c>
    </row>
    <row r="91" spans="1:12" hidden="1" x14ac:dyDescent="0.3">
      <c r="A91">
        <v>10549</v>
      </c>
      <c r="B91" s="1">
        <v>44891</v>
      </c>
      <c r="C91" t="s">
        <v>17</v>
      </c>
      <c r="D91">
        <v>4.99</v>
      </c>
      <c r="E91">
        <v>200.4</v>
      </c>
      <c r="F91" t="s">
        <v>36</v>
      </c>
      <c r="G91" t="s">
        <v>22</v>
      </c>
      <c r="H91" t="s">
        <v>38</v>
      </c>
      <c r="I91" t="s">
        <v>13</v>
      </c>
      <c r="J91" t="str">
        <f t="shared" si="3"/>
        <v>Saturday</v>
      </c>
      <c r="K91">
        <f t="shared" si="4"/>
        <v>999.99600000000009</v>
      </c>
      <c r="L91" t="str">
        <f t="shared" si="5"/>
        <v>2022</v>
      </c>
    </row>
    <row r="92" spans="1:12" hidden="1" x14ac:dyDescent="0.3">
      <c r="A92">
        <v>10550</v>
      </c>
      <c r="B92" s="1">
        <v>44892</v>
      </c>
      <c r="C92" t="s">
        <v>21</v>
      </c>
      <c r="D92">
        <v>12.99</v>
      </c>
      <c r="E92">
        <v>461.89</v>
      </c>
      <c r="F92" t="s">
        <v>36</v>
      </c>
      <c r="G92" t="s">
        <v>22</v>
      </c>
      <c r="H92" t="s">
        <v>38</v>
      </c>
      <c r="I92" t="s">
        <v>13</v>
      </c>
      <c r="J92" t="str">
        <f t="shared" si="3"/>
        <v>Sunday</v>
      </c>
      <c r="K92">
        <f t="shared" si="4"/>
        <v>5999.9511000000002</v>
      </c>
      <c r="L92" t="str">
        <f t="shared" si="5"/>
        <v>2022</v>
      </c>
    </row>
    <row r="93" spans="1:12" ht="15.6" customHeight="1" x14ac:dyDescent="0.3">
      <c r="A93">
        <v>10551</v>
      </c>
      <c r="B93" s="1">
        <v>44892</v>
      </c>
      <c r="C93" t="s">
        <v>25</v>
      </c>
      <c r="D93">
        <v>9.9499999999999993</v>
      </c>
      <c r="E93">
        <v>201.01</v>
      </c>
      <c r="F93" t="s">
        <v>36</v>
      </c>
      <c r="G93" t="s">
        <v>22</v>
      </c>
      <c r="H93" t="s">
        <v>38</v>
      </c>
      <c r="I93" t="s">
        <v>13</v>
      </c>
      <c r="J93" t="str">
        <f t="shared" si="3"/>
        <v>Sunday</v>
      </c>
      <c r="K93">
        <f t="shared" si="4"/>
        <v>2000.0494999999999</v>
      </c>
      <c r="L93" t="str">
        <f t="shared" si="5"/>
        <v>2022</v>
      </c>
    </row>
    <row r="94" spans="1:12" x14ac:dyDescent="0.3">
      <c r="A94">
        <v>10552</v>
      </c>
      <c r="B94" s="1">
        <v>44892</v>
      </c>
      <c r="C94" t="s">
        <v>9</v>
      </c>
      <c r="D94">
        <v>3.49</v>
      </c>
      <c r="E94">
        <v>630.37</v>
      </c>
      <c r="F94" t="s">
        <v>10</v>
      </c>
      <c r="G94" t="s">
        <v>22</v>
      </c>
      <c r="H94" t="s">
        <v>38</v>
      </c>
      <c r="I94" t="s">
        <v>13</v>
      </c>
      <c r="J94" t="str">
        <f t="shared" si="3"/>
        <v>Sunday</v>
      </c>
      <c r="K94">
        <f t="shared" si="4"/>
        <v>2199.9913000000001</v>
      </c>
      <c r="L94" t="str">
        <f t="shared" si="5"/>
        <v>2022</v>
      </c>
    </row>
    <row r="95" spans="1:12" x14ac:dyDescent="0.3">
      <c r="A95">
        <v>10553</v>
      </c>
      <c r="B95" s="1">
        <v>44892</v>
      </c>
      <c r="C95" t="s">
        <v>14</v>
      </c>
      <c r="D95">
        <v>2.95</v>
      </c>
      <c r="E95">
        <v>745.76</v>
      </c>
      <c r="F95" t="s">
        <v>10</v>
      </c>
      <c r="G95" t="s">
        <v>22</v>
      </c>
      <c r="H95" t="s">
        <v>38</v>
      </c>
      <c r="I95" t="s">
        <v>13</v>
      </c>
      <c r="J95" t="str">
        <f t="shared" si="3"/>
        <v>Sunday</v>
      </c>
      <c r="K95">
        <f t="shared" si="4"/>
        <v>2199.9920000000002</v>
      </c>
      <c r="L95" t="str">
        <f t="shared" si="5"/>
        <v>2022</v>
      </c>
    </row>
    <row r="96" spans="1:12" x14ac:dyDescent="0.3">
      <c r="A96">
        <v>10554</v>
      </c>
      <c r="B96" s="1">
        <v>44892</v>
      </c>
      <c r="C96" t="s">
        <v>17</v>
      </c>
      <c r="D96">
        <v>4.99</v>
      </c>
      <c r="E96">
        <v>200.4</v>
      </c>
      <c r="F96" t="s">
        <v>10</v>
      </c>
      <c r="G96" t="s">
        <v>22</v>
      </c>
      <c r="H96" t="s">
        <v>38</v>
      </c>
      <c r="I96" t="s">
        <v>13</v>
      </c>
      <c r="J96" t="str">
        <f t="shared" si="3"/>
        <v>Sunday</v>
      </c>
      <c r="K96">
        <f t="shared" si="4"/>
        <v>999.99600000000009</v>
      </c>
      <c r="L96" t="str">
        <f t="shared" si="5"/>
        <v>2022</v>
      </c>
    </row>
    <row r="97" spans="1:12" x14ac:dyDescent="0.3">
      <c r="A97">
        <v>10555</v>
      </c>
      <c r="B97" s="1">
        <v>44893</v>
      </c>
      <c r="C97" t="s">
        <v>21</v>
      </c>
      <c r="D97">
        <v>12.99</v>
      </c>
      <c r="E97">
        <v>477.29</v>
      </c>
      <c r="F97" t="s">
        <v>10</v>
      </c>
      <c r="G97" t="s">
        <v>22</v>
      </c>
      <c r="H97" t="s">
        <v>38</v>
      </c>
      <c r="I97" t="s">
        <v>13</v>
      </c>
      <c r="J97" t="str">
        <f t="shared" si="3"/>
        <v>Monday</v>
      </c>
      <c r="K97">
        <f t="shared" si="4"/>
        <v>6199.9971000000005</v>
      </c>
      <c r="L97" t="str">
        <f t="shared" si="5"/>
        <v>2022</v>
      </c>
    </row>
    <row r="98" spans="1:12" x14ac:dyDescent="0.3">
      <c r="A98">
        <v>10556</v>
      </c>
      <c r="B98" s="1">
        <v>44893</v>
      </c>
      <c r="C98" t="s">
        <v>25</v>
      </c>
      <c r="D98">
        <v>9.9499999999999993</v>
      </c>
      <c r="E98">
        <v>201.01</v>
      </c>
      <c r="F98" t="s">
        <v>10</v>
      </c>
      <c r="G98" t="s">
        <v>22</v>
      </c>
      <c r="H98" t="s">
        <v>38</v>
      </c>
      <c r="I98" t="s">
        <v>13</v>
      </c>
      <c r="J98" t="str">
        <f t="shared" si="3"/>
        <v>Monday</v>
      </c>
      <c r="K98">
        <f t="shared" si="4"/>
        <v>2000.0494999999999</v>
      </c>
      <c r="L98" t="str">
        <f t="shared" si="5"/>
        <v>2022</v>
      </c>
    </row>
    <row r="99" spans="1:12" x14ac:dyDescent="0.3">
      <c r="A99">
        <v>10557</v>
      </c>
      <c r="B99" s="1">
        <v>44893</v>
      </c>
      <c r="C99" t="s">
        <v>9</v>
      </c>
      <c r="D99">
        <v>3.49</v>
      </c>
      <c r="E99">
        <v>630.37</v>
      </c>
      <c r="F99" t="s">
        <v>10</v>
      </c>
      <c r="G99" t="s">
        <v>22</v>
      </c>
      <c r="H99" t="s">
        <v>38</v>
      </c>
      <c r="I99" t="s">
        <v>13</v>
      </c>
      <c r="J99" t="str">
        <f t="shared" si="3"/>
        <v>Monday</v>
      </c>
      <c r="K99">
        <f t="shared" si="4"/>
        <v>2199.9913000000001</v>
      </c>
      <c r="L99" t="str">
        <f t="shared" si="5"/>
        <v>2022</v>
      </c>
    </row>
    <row r="100" spans="1:12" x14ac:dyDescent="0.3">
      <c r="A100">
        <v>10558</v>
      </c>
      <c r="B100" s="1">
        <v>44893</v>
      </c>
      <c r="C100" t="s">
        <v>14</v>
      </c>
      <c r="D100">
        <v>2.95</v>
      </c>
      <c r="E100">
        <v>677.97</v>
      </c>
      <c r="F100" t="s">
        <v>10</v>
      </c>
      <c r="G100" t="s">
        <v>22</v>
      </c>
      <c r="H100" t="s">
        <v>38</v>
      </c>
      <c r="I100" t="s">
        <v>13</v>
      </c>
      <c r="J100" t="str">
        <f t="shared" si="3"/>
        <v>Monday</v>
      </c>
      <c r="K100">
        <f t="shared" si="4"/>
        <v>2000.0115000000003</v>
      </c>
      <c r="L100" t="str">
        <f t="shared" si="5"/>
        <v>2022</v>
      </c>
    </row>
    <row r="101" spans="1:12" x14ac:dyDescent="0.3">
      <c r="A101">
        <v>10559</v>
      </c>
      <c r="B101" s="1">
        <v>44893</v>
      </c>
      <c r="C101" t="s">
        <v>17</v>
      </c>
      <c r="D101">
        <v>4.99</v>
      </c>
      <c r="E101">
        <v>200.4</v>
      </c>
      <c r="F101" t="s">
        <v>10</v>
      </c>
      <c r="G101" t="s">
        <v>22</v>
      </c>
      <c r="H101" t="s">
        <v>38</v>
      </c>
      <c r="I101" t="s">
        <v>13</v>
      </c>
      <c r="J101" t="str">
        <f t="shared" si="3"/>
        <v>Monday</v>
      </c>
      <c r="K101">
        <f t="shared" si="4"/>
        <v>999.99600000000009</v>
      </c>
      <c r="L101" t="str">
        <f t="shared" si="5"/>
        <v>2022</v>
      </c>
    </row>
    <row r="102" spans="1:12" x14ac:dyDescent="0.3">
      <c r="A102">
        <v>10560</v>
      </c>
      <c r="B102" s="1">
        <v>44894</v>
      </c>
      <c r="C102" t="s">
        <v>21</v>
      </c>
      <c r="D102">
        <v>12.99</v>
      </c>
      <c r="E102">
        <v>477.29</v>
      </c>
      <c r="F102" t="s">
        <v>10</v>
      </c>
      <c r="G102" t="s">
        <v>22</v>
      </c>
      <c r="H102" t="s">
        <v>38</v>
      </c>
      <c r="I102" t="s">
        <v>13</v>
      </c>
      <c r="J102" t="str">
        <f t="shared" si="3"/>
        <v>Tuesday</v>
      </c>
      <c r="K102">
        <f t="shared" si="4"/>
        <v>6199.9971000000005</v>
      </c>
      <c r="L102" t="str">
        <f t="shared" si="5"/>
        <v>2022</v>
      </c>
    </row>
    <row r="103" spans="1:12" x14ac:dyDescent="0.3">
      <c r="A103">
        <v>10561</v>
      </c>
      <c r="B103" s="1">
        <v>44894</v>
      </c>
      <c r="C103" t="s">
        <v>25</v>
      </c>
      <c r="D103">
        <v>9.9499999999999993</v>
      </c>
      <c r="E103">
        <v>201.01</v>
      </c>
      <c r="F103" t="s">
        <v>10</v>
      </c>
      <c r="G103" t="s">
        <v>22</v>
      </c>
      <c r="H103" t="s">
        <v>38</v>
      </c>
      <c r="I103" t="s">
        <v>13</v>
      </c>
      <c r="J103" t="str">
        <f t="shared" si="3"/>
        <v>Tuesday</v>
      </c>
      <c r="K103">
        <f t="shared" si="4"/>
        <v>2000.0494999999999</v>
      </c>
      <c r="L103" t="str">
        <f t="shared" si="5"/>
        <v>2022</v>
      </c>
    </row>
    <row r="104" spans="1:12" x14ac:dyDescent="0.3">
      <c r="A104">
        <v>10562</v>
      </c>
      <c r="B104" s="1">
        <v>44894</v>
      </c>
      <c r="C104" t="s">
        <v>9</v>
      </c>
      <c r="D104">
        <v>3.49</v>
      </c>
      <c r="E104">
        <v>630.37</v>
      </c>
      <c r="F104" t="s">
        <v>10</v>
      </c>
      <c r="G104" t="s">
        <v>22</v>
      </c>
      <c r="H104" t="s">
        <v>38</v>
      </c>
      <c r="I104" t="s">
        <v>13</v>
      </c>
      <c r="J104" t="str">
        <f t="shared" si="3"/>
        <v>Tuesday</v>
      </c>
      <c r="K104">
        <f t="shared" si="4"/>
        <v>2199.9913000000001</v>
      </c>
      <c r="L104" t="str">
        <f t="shared" si="5"/>
        <v>2022</v>
      </c>
    </row>
    <row r="105" spans="1:12" x14ac:dyDescent="0.3">
      <c r="A105">
        <v>10563</v>
      </c>
      <c r="B105" s="1">
        <v>44894</v>
      </c>
      <c r="C105" t="s">
        <v>14</v>
      </c>
      <c r="D105">
        <v>2.95</v>
      </c>
      <c r="E105">
        <v>677.97</v>
      </c>
      <c r="F105" t="s">
        <v>10</v>
      </c>
      <c r="G105" t="s">
        <v>22</v>
      </c>
      <c r="H105" t="s">
        <v>38</v>
      </c>
      <c r="I105" t="s">
        <v>13</v>
      </c>
      <c r="J105" t="str">
        <f t="shared" si="3"/>
        <v>Tuesday</v>
      </c>
      <c r="K105">
        <f t="shared" si="4"/>
        <v>2000.0115000000003</v>
      </c>
      <c r="L105" t="str">
        <f t="shared" si="5"/>
        <v>2022</v>
      </c>
    </row>
    <row r="106" spans="1:12" x14ac:dyDescent="0.3">
      <c r="A106">
        <v>10564</v>
      </c>
      <c r="B106" s="1">
        <v>44894</v>
      </c>
      <c r="C106" t="s">
        <v>17</v>
      </c>
      <c r="D106">
        <v>4.99</v>
      </c>
      <c r="E106">
        <v>200.4</v>
      </c>
      <c r="F106" t="s">
        <v>10</v>
      </c>
      <c r="G106" t="s">
        <v>22</v>
      </c>
      <c r="H106" t="s">
        <v>38</v>
      </c>
      <c r="I106" t="s">
        <v>13</v>
      </c>
      <c r="J106" t="str">
        <f t="shared" si="3"/>
        <v>Tuesday</v>
      </c>
      <c r="K106">
        <f t="shared" si="4"/>
        <v>999.99600000000009</v>
      </c>
      <c r="L106" t="str">
        <f t="shared" si="5"/>
        <v>2022</v>
      </c>
    </row>
    <row r="107" spans="1:12" x14ac:dyDescent="0.3">
      <c r="A107">
        <v>10565</v>
      </c>
      <c r="B107" s="1">
        <v>44895</v>
      </c>
      <c r="C107" t="s">
        <v>21</v>
      </c>
      <c r="D107">
        <v>12.99</v>
      </c>
      <c r="E107">
        <v>492.69</v>
      </c>
      <c r="F107" t="s">
        <v>10</v>
      </c>
      <c r="G107" t="s">
        <v>22</v>
      </c>
      <c r="H107" t="s">
        <v>38</v>
      </c>
      <c r="I107" t="s">
        <v>13</v>
      </c>
      <c r="J107" t="str">
        <f t="shared" si="3"/>
        <v>Wednesday</v>
      </c>
      <c r="K107">
        <f t="shared" si="4"/>
        <v>6400.0430999999999</v>
      </c>
      <c r="L107" t="str">
        <f t="shared" si="5"/>
        <v>2022</v>
      </c>
    </row>
    <row r="108" spans="1:12" x14ac:dyDescent="0.3">
      <c r="A108">
        <v>10566</v>
      </c>
      <c r="B108" s="1">
        <v>44895</v>
      </c>
      <c r="C108" t="s">
        <v>25</v>
      </c>
      <c r="D108">
        <v>9.9499999999999993</v>
      </c>
      <c r="E108">
        <v>201.01</v>
      </c>
      <c r="F108" t="s">
        <v>10</v>
      </c>
      <c r="G108" t="s">
        <v>22</v>
      </c>
      <c r="H108" t="s">
        <v>38</v>
      </c>
      <c r="I108" t="s">
        <v>13</v>
      </c>
      <c r="J108" t="str">
        <f t="shared" si="3"/>
        <v>Wednesday</v>
      </c>
      <c r="K108">
        <f t="shared" si="4"/>
        <v>2000.0494999999999</v>
      </c>
      <c r="L108" t="str">
        <f t="shared" si="5"/>
        <v>2022</v>
      </c>
    </row>
    <row r="109" spans="1:12" x14ac:dyDescent="0.3">
      <c r="A109">
        <v>10567</v>
      </c>
      <c r="B109" s="1">
        <v>44895</v>
      </c>
      <c r="C109" t="s">
        <v>9</v>
      </c>
      <c r="D109">
        <v>3.49</v>
      </c>
      <c r="E109">
        <v>630.37</v>
      </c>
      <c r="F109" t="s">
        <v>10</v>
      </c>
      <c r="G109" t="s">
        <v>22</v>
      </c>
      <c r="H109" t="s">
        <v>38</v>
      </c>
      <c r="I109" t="s">
        <v>13</v>
      </c>
      <c r="J109" t="str">
        <f t="shared" si="3"/>
        <v>Wednesday</v>
      </c>
      <c r="K109">
        <f t="shared" si="4"/>
        <v>2199.9913000000001</v>
      </c>
      <c r="L109" t="str">
        <f t="shared" si="5"/>
        <v>2022</v>
      </c>
    </row>
    <row r="110" spans="1:12" x14ac:dyDescent="0.3">
      <c r="A110">
        <v>10568</v>
      </c>
      <c r="B110" s="1">
        <v>44895</v>
      </c>
      <c r="C110" t="s">
        <v>14</v>
      </c>
      <c r="D110">
        <v>2.95</v>
      </c>
      <c r="E110">
        <v>677.97</v>
      </c>
      <c r="F110" t="s">
        <v>10</v>
      </c>
      <c r="G110" t="s">
        <v>22</v>
      </c>
      <c r="H110" t="s">
        <v>38</v>
      </c>
      <c r="I110" t="s">
        <v>13</v>
      </c>
      <c r="J110" t="str">
        <f t="shared" si="3"/>
        <v>Wednesday</v>
      </c>
      <c r="K110">
        <f t="shared" si="4"/>
        <v>2000.0115000000003</v>
      </c>
      <c r="L110" t="str">
        <f t="shared" si="5"/>
        <v>2022</v>
      </c>
    </row>
    <row r="111" spans="1:12" x14ac:dyDescent="0.3">
      <c r="A111">
        <v>10569</v>
      </c>
      <c r="B111" s="1">
        <v>44895</v>
      </c>
      <c r="C111" t="s">
        <v>17</v>
      </c>
      <c r="D111">
        <v>4.99</v>
      </c>
      <c r="E111">
        <v>200.4</v>
      </c>
      <c r="F111" t="s">
        <v>10</v>
      </c>
      <c r="G111" t="s">
        <v>22</v>
      </c>
      <c r="H111" t="s">
        <v>38</v>
      </c>
      <c r="I111" t="s">
        <v>13</v>
      </c>
      <c r="J111" t="str">
        <f t="shared" si="3"/>
        <v>Wednesday</v>
      </c>
      <c r="K111">
        <f t="shared" si="4"/>
        <v>999.99600000000009</v>
      </c>
      <c r="L111" t="str">
        <f t="shared" si="5"/>
        <v>2022</v>
      </c>
    </row>
    <row r="112" spans="1:12" x14ac:dyDescent="0.3">
      <c r="A112">
        <v>10570</v>
      </c>
      <c r="B112" s="1">
        <v>44896</v>
      </c>
      <c r="C112" t="s">
        <v>21</v>
      </c>
      <c r="D112">
        <v>12.99</v>
      </c>
      <c r="E112">
        <v>492.69</v>
      </c>
      <c r="F112" t="s">
        <v>10</v>
      </c>
      <c r="G112" t="s">
        <v>22</v>
      </c>
      <c r="H112" t="s">
        <v>38</v>
      </c>
      <c r="I112" t="s">
        <v>13</v>
      </c>
      <c r="J112" t="str">
        <f t="shared" si="3"/>
        <v>Thursday</v>
      </c>
      <c r="K112">
        <f t="shared" si="4"/>
        <v>6400.0430999999999</v>
      </c>
      <c r="L112" t="str">
        <f t="shared" si="5"/>
        <v>2022</v>
      </c>
    </row>
    <row r="113" spans="1:12" x14ac:dyDescent="0.3">
      <c r="A113">
        <v>10571</v>
      </c>
      <c r="B113" s="1">
        <v>44896</v>
      </c>
      <c r="C113" t="s">
        <v>25</v>
      </c>
      <c r="D113">
        <v>9.9499999999999993</v>
      </c>
      <c r="E113">
        <v>201.01</v>
      </c>
      <c r="F113" t="s">
        <v>10</v>
      </c>
      <c r="G113" t="s">
        <v>22</v>
      </c>
      <c r="H113" t="s">
        <v>38</v>
      </c>
      <c r="I113" t="s">
        <v>13</v>
      </c>
      <c r="J113" t="str">
        <f t="shared" si="3"/>
        <v>Thursday</v>
      </c>
      <c r="K113">
        <f t="shared" si="4"/>
        <v>2000.0494999999999</v>
      </c>
      <c r="L113" t="str">
        <f t="shared" si="5"/>
        <v>2022</v>
      </c>
    </row>
    <row r="114" spans="1:12" x14ac:dyDescent="0.3">
      <c r="A114">
        <v>10572</v>
      </c>
      <c r="B114" s="1">
        <v>44896</v>
      </c>
      <c r="C114" t="s">
        <v>9</v>
      </c>
      <c r="D114">
        <v>3.49</v>
      </c>
      <c r="E114">
        <v>573.07000000000005</v>
      </c>
      <c r="F114" t="s">
        <v>10</v>
      </c>
      <c r="G114" t="s">
        <v>22</v>
      </c>
      <c r="H114" t="s">
        <v>28</v>
      </c>
      <c r="I114" t="s">
        <v>27</v>
      </c>
      <c r="J114" t="str">
        <f t="shared" si="3"/>
        <v>Thursday</v>
      </c>
      <c r="K114">
        <f t="shared" si="4"/>
        <v>2000.0143000000003</v>
      </c>
      <c r="L114" t="str">
        <f t="shared" si="5"/>
        <v>2022</v>
      </c>
    </row>
    <row r="115" spans="1:12" x14ac:dyDescent="0.3">
      <c r="A115">
        <v>10573</v>
      </c>
      <c r="B115" s="1">
        <v>44896</v>
      </c>
      <c r="C115" t="s">
        <v>14</v>
      </c>
      <c r="D115">
        <v>2.95</v>
      </c>
      <c r="E115">
        <v>677.97</v>
      </c>
      <c r="F115" t="s">
        <v>10</v>
      </c>
      <c r="G115" t="s">
        <v>22</v>
      </c>
      <c r="H115" t="s">
        <v>28</v>
      </c>
      <c r="I115" t="s">
        <v>27</v>
      </c>
      <c r="J115" t="str">
        <f t="shared" si="3"/>
        <v>Thursday</v>
      </c>
      <c r="K115">
        <f t="shared" si="4"/>
        <v>2000.0115000000003</v>
      </c>
      <c r="L115" t="str">
        <f t="shared" si="5"/>
        <v>2022</v>
      </c>
    </row>
    <row r="116" spans="1:12" x14ac:dyDescent="0.3">
      <c r="A116">
        <v>10574</v>
      </c>
      <c r="B116" s="1">
        <v>44896</v>
      </c>
      <c r="C116" t="s">
        <v>17</v>
      </c>
      <c r="D116">
        <v>4.99</v>
      </c>
      <c r="E116">
        <v>200.4</v>
      </c>
      <c r="F116" t="s">
        <v>10</v>
      </c>
      <c r="G116" t="s">
        <v>22</v>
      </c>
      <c r="H116" t="s">
        <v>28</v>
      </c>
      <c r="I116" t="s">
        <v>27</v>
      </c>
      <c r="J116" t="str">
        <f t="shared" si="3"/>
        <v>Thursday</v>
      </c>
      <c r="K116">
        <f t="shared" si="4"/>
        <v>999.99600000000009</v>
      </c>
      <c r="L116" t="str">
        <f t="shared" si="5"/>
        <v>2022</v>
      </c>
    </row>
    <row r="117" spans="1:12" x14ac:dyDescent="0.3">
      <c r="A117">
        <v>10575</v>
      </c>
      <c r="B117" s="1">
        <v>44897</v>
      </c>
      <c r="C117" t="s">
        <v>21</v>
      </c>
      <c r="D117">
        <v>12.99</v>
      </c>
      <c r="E117">
        <v>523.48</v>
      </c>
      <c r="F117" t="s">
        <v>10</v>
      </c>
      <c r="G117" t="s">
        <v>22</v>
      </c>
      <c r="H117" t="s">
        <v>28</v>
      </c>
      <c r="I117" t="s">
        <v>27</v>
      </c>
      <c r="J117" t="str">
        <f t="shared" si="3"/>
        <v>Friday</v>
      </c>
      <c r="K117">
        <f t="shared" si="4"/>
        <v>6800.0052000000005</v>
      </c>
      <c r="L117" t="str">
        <f t="shared" si="5"/>
        <v>2022</v>
      </c>
    </row>
    <row r="118" spans="1:12" x14ac:dyDescent="0.3">
      <c r="A118">
        <v>10576</v>
      </c>
      <c r="B118" s="1">
        <v>44897</v>
      </c>
      <c r="C118" t="s">
        <v>25</v>
      </c>
      <c r="D118">
        <v>9.9499999999999993</v>
      </c>
      <c r="E118">
        <v>201.01</v>
      </c>
      <c r="F118" t="s">
        <v>10</v>
      </c>
      <c r="G118" t="s">
        <v>22</v>
      </c>
      <c r="H118" t="s">
        <v>28</v>
      </c>
      <c r="I118" t="s">
        <v>27</v>
      </c>
      <c r="J118" t="str">
        <f t="shared" si="3"/>
        <v>Friday</v>
      </c>
      <c r="K118">
        <f t="shared" si="4"/>
        <v>2000.0494999999999</v>
      </c>
      <c r="L118" t="str">
        <f t="shared" si="5"/>
        <v>2022</v>
      </c>
    </row>
    <row r="119" spans="1:12" x14ac:dyDescent="0.3">
      <c r="A119">
        <v>10577</v>
      </c>
      <c r="B119" s="1">
        <v>44897</v>
      </c>
      <c r="C119" t="s">
        <v>9</v>
      </c>
      <c r="D119">
        <v>3.49</v>
      </c>
      <c r="E119">
        <v>630.37</v>
      </c>
      <c r="F119" t="s">
        <v>10</v>
      </c>
      <c r="G119" t="s">
        <v>22</v>
      </c>
      <c r="H119" t="s">
        <v>28</v>
      </c>
      <c r="I119" t="s">
        <v>27</v>
      </c>
      <c r="J119" t="str">
        <f t="shared" si="3"/>
        <v>Friday</v>
      </c>
      <c r="K119">
        <f t="shared" si="4"/>
        <v>2199.9913000000001</v>
      </c>
      <c r="L119" t="str">
        <f t="shared" si="5"/>
        <v>2022</v>
      </c>
    </row>
    <row r="120" spans="1:12" x14ac:dyDescent="0.3">
      <c r="A120">
        <v>10578</v>
      </c>
      <c r="B120" s="1">
        <v>44897</v>
      </c>
      <c r="C120" t="s">
        <v>14</v>
      </c>
      <c r="D120">
        <v>2.95</v>
      </c>
      <c r="E120">
        <v>677.97</v>
      </c>
      <c r="F120" t="s">
        <v>10</v>
      </c>
      <c r="G120" t="s">
        <v>22</v>
      </c>
      <c r="H120" t="s">
        <v>28</v>
      </c>
      <c r="I120" t="s">
        <v>27</v>
      </c>
      <c r="J120" t="str">
        <f t="shared" si="3"/>
        <v>Friday</v>
      </c>
      <c r="K120">
        <f t="shared" si="4"/>
        <v>2000.0115000000003</v>
      </c>
      <c r="L120" t="str">
        <f t="shared" si="5"/>
        <v>2022</v>
      </c>
    </row>
    <row r="121" spans="1:12" x14ac:dyDescent="0.3">
      <c r="A121">
        <v>10579</v>
      </c>
      <c r="B121" s="1">
        <v>44897</v>
      </c>
      <c r="C121" t="s">
        <v>17</v>
      </c>
      <c r="D121">
        <v>4.99</v>
      </c>
      <c r="E121">
        <v>200.4</v>
      </c>
      <c r="F121" t="s">
        <v>10</v>
      </c>
      <c r="G121" t="s">
        <v>22</v>
      </c>
      <c r="H121" t="s">
        <v>28</v>
      </c>
      <c r="I121" t="s">
        <v>27</v>
      </c>
      <c r="J121" t="str">
        <f t="shared" si="3"/>
        <v>Friday</v>
      </c>
      <c r="K121">
        <f t="shared" si="4"/>
        <v>999.99600000000009</v>
      </c>
      <c r="L121" t="str">
        <f t="shared" si="5"/>
        <v>2022</v>
      </c>
    </row>
    <row r="122" spans="1:12" x14ac:dyDescent="0.3">
      <c r="A122">
        <v>10580</v>
      </c>
      <c r="B122" s="1">
        <v>44898</v>
      </c>
      <c r="C122" t="s">
        <v>21</v>
      </c>
      <c r="D122">
        <v>12.99</v>
      </c>
      <c r="E122">
        <v>523.48</v>
      </c>
      <c r="F122" t="s">
        <v>10</v>
      </c>
      <c r="G122" t="s">
        <v>22</v>
      </c>
      <c r="H122" t="s">
        <v>28</v>
      </c>
      <c r="I122" t="s">
        <v>27</v>
      </c>
      <c r="J122" t="str">
        <f t="shared" si="3"/>
        <v>Saturday</v>
      </c>
      <c r="K122">
        <f t="shared" si="4"/>
        <v>6800.0052000000005</v>
      </c>
      <c r="L122" t="str">
        <f t="shared" si="5"/>
        <v>2022</v>
      </c>
    </row>
    <row r="123" spans="1:12" x14ac:dyDescent="0.3">
      <c r="A123">
        <v>10581</v>
      </c>
      <c r="B123" s="1">
        <v>44898</v>
      </c>
      <c r="C123" t="s">
        <v>25</v>
      </c>
      <c r="D123">
        <v>9.9499999999999993</v>
      </c>
      <c r="E123">
        <v>201.01</v>
      </c>
      <c r="F123" t="s">
        <v>10</v>
      </c>
      <c r="G123" t="s">
        <v>22</v>
      </c>
      <c r="H123" t="s">
        <v>28</v>
      </c>
      <c r="I123" t="s">
        <v>27</v>
      </c>
      <c r="J123" t="str">
        <f t="shared" si="3"/>
        <v>Saturday</v>
      </c>
      <c r="K123">
        <f t="shared" si="4"/>
        <v>2000.0494999999999</v>
      </c>
      <c r="L123" t="str">
        <f t="shared" si="5"/>
        <v>2022</v>
      </c>
    </row>
    <row r="124" spans="1:12" x14ac:dyDescent="0.3">
      <c r="A124">
        <v>10582</v>
      </c>
      <c r="B124" s="1">
        <v>44898</v>
      </c>
      <c r="C124" t="s">
        <v>9</v>
      </c>
      <c r="D124">
        <v>3.49</v>
      </c>
      <c r="E124">
        <v>630.37</v>
      </c>
      <c r="F124" t="s">
        <v>10</v>
      </c>
      <c r="G124" t="s">
        <v>22</v>
      </c>
      <c r="H124" t="s">
        <v>38</v>
      </c>
      <c r="I124" t="s">
        <v>13</v>
      </c>
      <c r="J124" t="str">
        <f t="shared" si="3"/>
        <v>Saturday</v>
      </c>
      <c r="K124">
        <f t="shared" si="4"/>
        <v>2199.9913000000001</v>
      </c>
      <c r="L124" t="str">
        <f t="shared" si="5"/>
        <v>2022</v>
      </c>
    </row>
    <row r="125" spans="1:12" x14ac:dyDescent="0.3">
      <c r="A125">
        <v>10583</v>
      </c>
      <c r="B125" s="1">
        <v>44898</v>
      </c>
      <c r="C125" t="s">
        <v>14</v>
      </c>
      <c r="D125">
        <v>2.95</v>
      </c>
      <c r="E125">
        <v>677.97</v>
      </c>
      <c r="F125" t="s">
        <v>10</v>
      </c>
      <c r="G125" t="s">
        <v>22</v>
      </c>
      <c r="H125" t="s">
        <v>38</v>
      </c>
      <c r="I125" t="s">
        <v>13</v>
      </c>
      <c r="J125" t="str">
        <f t="shared" si="3"/>
        <v>Saturday</v>
      </c>
      <c r="K125">
        <f t="shared" si="4"/>
        <v>2000.0115000000003</v>
      </c>
      <c r="L125" t="str">
        <f t="shared" si="5"/>
        <v>2022</v>
      </c>
    </row>
    <row r="126" spans="1:12" x14ac:dyDescent="0.3">
      <c r="A126">
        <v>10584</v>
      </c>
      <c r="B126" s="1">
        <v>44898</v>
      </c>
      <c r="C126" t="s">
        <v>17</v>
      </c>
      <c r="D126">
        <v>4.99</v>
      </c>
      <c r="E126">
        <v>200.4</v>
      </c>
      <c r="F126" t="s">
        <v>10</v>
      </c>
      <c r="G126" t="s">
        <v>22</v>
      </c>
      <c r="H126" t="s">
        <v>38</v>
      </c>
      <c r="I126" t="s">
        <v>13</v>
      </c>
      <c r="J126" t="str">
        <f t="shared" si="3"/>
        <v>Saturday</v>
      </c>
      <c r="K126">
        <f t="shared" si="4"/>
        <v>999.99600000000009</v>
      </c>
      <c r="L126" t="str">
        <f t="shared" si="5"/>
        <v>2022</v>
      </c>
    </row>
    <row r="127" spans="1:12" x14ac:dyDescent="0.3">
      <c r="A127">
        <v>10585</v>
      </c>
      <c r="B127" s="1">
        <v>44899</v>
      </c>
      <c r="C127" t="s">
        <v>21</v>
      </c>
      <c r="D127">
        <v>12.99</v>
      </c>
      <c r="E127">
        <v>538.88</v>
      </c>
      <c r="F127" t="s">
        <v>10</v>
      </c>
      <c r="G127" t="s">
        <v>22</v>
      </c>
      <c r="H127" t="s">
        <v>38</v>
      </c>
      <c r="I127" t="s">
        <v>13</v>
      </c>
      <c r="J127" t="str">
        <f t="shared" si="3"/>
        <v>Sunday</v>
      </c>
      <c r="K127">
        <f t="shared" si="4"/>
        <v>7000.0511999999999</v>
      </c>
      <c r="L127" t="str">
        <f t="shared" si="5"/>
        <v>2022</v>
      </c>
    </row>
    <row r="128" spans="1:12" x14ac:dyDescent="0.3">
      <c r="A128">
        <v>10586</v>
      </c>
      <c r="B128" s="1">
        <v>44899</v>
      </c>
      <c r="C128" t="s">
        <v>25</v>
      </c>
      <c r="D128">
        <v>9.9499999999999993</v>
      </c>
      <c r="E128">
        <v>201.01</v>
      </c>
      <c r="F128" t="s">
        <v>10</v>
      </c>
      <c r="G128" t="s">
        <v>22</v>
      </c>
      <c r="H128" t="s">
        <v>38</v>
      </c>
      <c r="I128" t="s">
        <v>13</v>
      </c>
      <c r="J128" t="str">
        <f t="shared" si="3"/>
        <v>Sunday</v>
      </c>
      <c r="K128">
        <f t="shared" si="4"/>
        <v>2000.0494999999999</v>
      </c>
      <c r="L128" t="str">
        <f t="shared" si="5"/>
        <v>2022</v>
      </c>
    </row>
    <row r="129" spans="1:12" hidden="1" x14ac:dyDescent="0.3">
      <c r="A129">
        <v>10537</v>
      </c>
      <c r="B129" s="1">
        <v>44889</v>
      </c>
      <c r="C129" t="s">
        <v>9</v>
      </c>
      <c r="D129">
        <v>3.49</v>
      </c>
      <c r="E129">
        <v>630.37</v>
      </c>
      <c r="F129" t="s">
        <v>36</v>
      </c>
      <c r="G129" t="s">
        <v>22</v>
      </c>
      <c r="H129" t="s">
        <v>31</v>
      </c>
      <c r="I129" t="s">
        <v>16</v>
      </c>
      <c r="J129" t="str">
        <f t="shared" si="3"/>
        <v>Thursday</v>
      </c>
      <c r="K129">
        <f t="shared" si="4"/>
        <v>2199.9913000000001</v>
      </c>
      <c r="L129" t="str">
        <f t="shared" si="5"/>
        <v>2022</v>
      </c>
    </row>
    <row r="130" spans="1:12" hidden="1" x14ac:dyDescent="0.3">
      <c r="A130">
        <v>10538</v>
      </c>
      <c r="B130" s="1">
        <v>44889</v>
      </c>
      <c r="C130" t="s">
        <v>14</v>
      </c>
      <c r="D130">
        <v>2.95</v>
      </c>
      <c r="E130">
        <v>745.76</v>
      </c>
      <c r="F130" t="s">
        <v>36</v>
      </c>
      <c r="G130" t="s">
        <v>22</v>
      </c>
      <c r="H130" t="s">
        <v>31</v>
      </c>
      <c r="I130" t="s">
        <v>16</v>
      </c>
      <c r="J130" t="str">
        <f t="shared" ref="J130:J193" si="6">TEXT(B130,"dddd")</f>
        <v>Thursday</v>
      </c>
      <c r="K130">
        <f t="shared" ref="K130:K193" si="7">D130*E130</f>
        <v>2199.9920000000002</v>
      </c>
      <c r="L130" t="str">
        <f t="shared" ref="L130:L193" si="8">TEXT(B130,"yyyy")</f>
        <v>2022</v>
      </c>
    </row>
    <row r="131" spans="1:12" hidden="1" x14ac:dyDescent="0.3">
      <c r="A131">
        <v>10539</v>
      </c>
      <c r="B131" s="1">
        <v>44889</v>
      </c>
      <c r="C131" t="s">
        <v>17</v>
      </c>
      <c r="D131">
        <v>4.99</v>
      </c>
      <c r="E131">
        <v>200.4</v>
      </c>
      <c r="F131" t="s">
        <v>36</v>
      </c>
      <c r="G131" t="s">
        <v>22</v>
      </c>
      <c r="H131" t="s">
        <v>31</v>
      </c>
      <c r="I131" t="s">
        <v>16</v>
      </c>
      <c r="J131" t="str">
        <f t="shared" si="6"/>
        <v>Thursday</v>
      </c>
      <c r="K131">
        <f t="shared" si="7"/>
        <v>999.99600000000009</v>
      </c>
      <c r="L131" t="str">
        <f t="shared" si="8"/>
        <v>2022</v>
      </c>
    </row>
    <row r="132" spans="1:12" x14ac:dyDescent="0.3">
      <c r="A132">
        <v>10590</v>
      </c>
      <c r="B132" s="1">
        <v>44900</v>
      </c>
      <c r="C132" t="s">
        <v>21</v>
      </c>
      <c r="D132">
        <v>12.99</v>
      </c>
      <c r="E132">
        <v>554.27</v>
      </c>
      <c r="F132" t="s">
        <v>10</v>
      </c>
      <c r="G132" t="s">
        <v>22</v>
      </c>
      <c r="H132" t="s">
        <v>38</v>
      </c>
      <c r="I132" t="s">
        <v>13</v>
      </c>
      <c r="J132" t="str">
        <f t="shared" si="6"/>
        <v>Monday</v>
      </c>
      <c r="K132">
        <f t="shared" si="7"/>
        <v>7199.9673000000003</v>
      </c>
      <c r="L132" t="str">
        <f t="shared" si="8"/>
        <v>2022</v>
      </c>
    </row>
    <row r="133" spans="1:12" x14ac:dyDescent="0.3">
      <c r="A133">
        <v>10591</v>
      </c>
      <c r="B133" s="1">
        <v>44900</v>
      </c>
      <c r="C133" t="s">
        <v>25</v>
      </c>
      <c r="D133">
        <v>9.9499999999999993</v>
      </c>
      <c r="E133">
        <v>201.01</v>
      </c>
      <c r="F133" t="s">
        <v>10</v>
      </c>
      <c r="G133" t="s">
        <v>22</v>
      </c>
      <c r="H133" t="s">
        <v>38</v>
      </c>
      <c r="I133" t="s">
        <v>13</v>
      </c>
      <c r="J133" t="str">
        <f t="shared" si="6"/>
        <v>Monday</v>
      </c>
      <c r="K133">
        <f t="shared" si="7"/>
        <v>2000.0494999999999</v>
      </c>
      <c r="L133" t="str">
        <f t="shared" si="8"/>
        <v>2022</v>
      </c>
    </row>
    <row r="134" spans="1:12" x14ac:dyDescent="0.3">
      <c r="A134">
        <v>10592</v>
      </c>
      <c r="B134" s="1">
        <v>44900</v>
      </c>
      <c r="C134" t="s">
        <v>9</v>
      </c>
      <c r="D134">
        <v>3.49</v>
      </c>
      <c r="E134">
        <v>573.07000000000005</v>
      </c>
      <c r="F134" t="s">
        <v>10</v>
      </c>
      <c r="G134" t="s">
        <v>22</v>
      </c>
      <c r="H134" t="s">
        <v>38</v>
      </c>
      <c r="I134" t="s">
        <v>13</v>
      </c>
      <c r="J134" t="str">
        <f t="shared" si="6"/>
        <v>Monday</v>
      </c>
      <c r="K134">
        <f t="shared" si="7"/>
        <v>2000.0143000000003</v>
      </c>
      <c r="L134" t="str">
        <f t="shared" si="8"/>
        <v>2022</v>
      </c>
    </row>
    <row r="135" spans="1:12" x14ac:dyDescent="0.3">
      <c r="A135">
        <v>10593</v>
      </c>
      <c r="B135" s="1">
        <v>44900</v>
      </c>
      <c r="C135" t="s">
        <v>14</v>
      </c>
      <c r="D135">
        <v>2.95</v>
      </c>
      <c r="E135">
        <v>677.97</v>
      </c>
      <c r="F135" t="s">
        <v>10</v>
      </c>
      <c r="G135" t="s">
        <v>22</v>
      </c>
      <c r="H135" t="s">
        <v>38</v>
      </c>
      <c r="I135" t="s">
        <v>13</v>
      </c>
      <c r="J135" t="str">
        <f t="shared" si="6"/>
        <v>Monday</v>
      </c>
      <c r="K135">
        <f t="shared" si="7"/>
        <v>2000.0115000000003</v>
      </c>
      <c r="L135" t="str">
        <f t="shared" si="8"/>
        <v>2022</v>
      </c>
    </row>
    <row r="136" spans="1:12" x14ac:dyDescent="0.3">
      <c r="A136">
        <v>10594</v>
      </c>
      <c r="B136" s="1">
        <v>44900</v>
      </c>
      <c r="C136" t="s">
        <v>17</v>
      </c>
      <c r="D136">
        <v>4.99</v>
      </c>
      <c r="E136">
        <v>200.4</v>
      </c>
      <c r="F136" t="s">
        <v>10</v>
      </c>
      <c r="G136" t="s">
        <v>22</v>
      </c>
      <c r="H136" t="s">
        <v>38</v>
      </c>
      <c r="I136" t="s">
        <v>13</v>
      </c>
      <c r="J136" t="str">
        <f t="shared" si="6"/>
        <v>Monday</v>
      </c>
      <c r="K136">
        <f t="shared" si="7"/>
        <v>999.99600000000009</v>
      </c>
      <c r="L136" t="str">
        <f t="shared" si="8"/>
        <v>2022</v>
      </c>
    </row>
    <row r="137" spans="1:12" x14ac:dyDescent="0.3">
      <c r="A137">
        <v>10595</v>
      </c>
      <c r="B137" s="1">
        <v>44901</v>
      </c>
      <c r="C137" t="s">
        <v>21</v>
      </c>
      <c r="D137">
        <v>12.99</v>
      </c>
      <c r="E137">
        <v>538.88</v>
      </c>
      <c r="F137" t="s">
        <v>10</v>
      </c>
      <c r="G137" t="s">
        <v>22</v>
      </c>
      <c r="H137" t="s">
        <v>38</v>
      </c>
      <c r="I137" t="s">
        <v>13</v>
      </c>
      <c r="J137" t="str">
        <f t="shared" si="6"/>
        <v>Tuesday</v>
      </c>
      <c r="K137">
        <f t="shared" si="7"/>
        <v>7000.0511999999999</v>
      </c>
      <c r="L137" t="str">
        <f t="shared" si="8"/>
        <v>2022</v>
      </c>
    </row>
    <row r="138" spans="1:12" x14ac:dyDescent="0.3">
      <c r="A138">
        <v>10596</v>
      </c>
      <c r="B138" s="1">
        <v>44901</v>
      </c>
      <c r="C138" t="s">
        <v>25</v>
      </c>
      <c r="D138">
        <v>9.9499999999999993</v>
      </c>
      <c r="E138">
        <v>201.01</v>
      </c>
      <c r="F138" t="s">
        <v>10</v>
      </c>
      <c r="G138" t="s">
        <v>22</v>
      </c>
      <c r="H138" t="s">
        <v>38</v>
      </c>
      <c r="I138" t="s">
        <v>13</v>
      </c>
      <c r="J138" t="str">
        <f t="shared" si="6"/>
        <v>Tuesday</v>
      </c>
      <c r="K138">
        <f t="shared" si="7"/>
        <v>2000.0494999999999</v>
      </c>
      <c r="L138" t="str">
        <f t="shared" si="8"/>
        <v>2022</v>
      </c>
    </row>
    <row r="139" spans="1:12" x14ac:dyDescent="0.3">
      <c r="A139">
        <v>10597</v>
      </c>
      <c r="B139" s="1">
        <v>44901</v>
      </c>
      <c r="C139" t="s">
        <v>9</v>
      </c>
      <c r="D139">
        <v>3.49</v>
      </c>
      <c r="E139">
        <v>573.07000000000005</v>
      </c>
      <c r="F139" t="s">
        <v>10</v>
      </c>
      <c r="G139" t="s">
        <v>22</v>
      </c>
      <c r="H139" t="s">
        <v>38</v>
      </c>
      <c r="I139" t="s">
        <v>13</v>
      </c>
      <c r="J139" t="str">
        <f t="shared" si="6"/>
        <v>Tuesday</v>
      </c>
      <c r="K139">
        <f t="shared" si="7"/>
        <v>2000.0143000000003</v>
      </c>
      <c r="L139" t="str">
        <f t="shared" si="8"/>
        <v>2022</v>
      </c>
    </row>
    <row r="140" spans="1:12" x14ac:dyDescent="0.3">
      <c r="A140">
        <v>10598</v>
      </c>
      <c r="B140" s="1">
        <v>44901</v>
      </c>
      <c r="C140" t="s">
        <v>14</v>
      </c>
      <c r="D140">
        <v>2.95</v>
      </c>
      <c r="E140">
        <v>677.97</v>
      </c>
      <c r="F140" t="s">
        <v>10</v>
      </c>
      <c r="G140" t="s">
        <v>22</v>
      </c>
      <c r="H140" t="s">
        <v>38</v>
      </c>
      <c r="I140" t="s">
        <v>13</v>
      </c>
      <c r="J140" t="str">
        <f t="shared" si="6"/>
        <v>Tuesday</v>
      </c>
      <c r="K140">
        <f t="shared" si="7"/>
        <v>2000.0115000000003</v>
      </c>
      <c r="L140" t="str">
        <f t="shared" si="8"/>
        <v>2022</v>
      </c>
    </row>
    <row r="141" spans="1:12" x14ac:dyDescent="0.3">
      <c r="A141">
        <v>10599</v>
      </c>
      <c r="B141" s="1">
        <v>44901</v>
      </c>
      <c r="C141" t="s">
        <v>17</v>
      </c>
      <c r="D141">
        <v>4.99</v>
      </c>
      <c r="E141">
        <v>200.4</v>
      </c>
      <c r="F141" t="s">
        <v>10</v>
      </c>
      <c r="G141" t="s">
        <v>22</v>
      </c>
      <c r="H141" t="s">
        <v>38</v>
      </c>
      <c r="I141" t="s">
        <v>13</v>
      </c>
      <c r="J141" t="str">
        <f t="shared" si="6"/>
        <v>Tuesday</v>
      </c>
      <c r="K141">
        <f t="shared" si="7"/>
        <v>999.99600000000009</v>
      </c>
      <c r="L141" t="str">
        <f t="shared" si="8"/>
        <v>2022</v>
      </c>
    </row>
    <row r="142" spans="1:12" x14ac:dyDescent="0.3">
      <c r="A142">
        <v>10600</v>
      </c>
      <c r="B142" s="1">
        <v>44902</v>
      </c>
      <c r="C142" t="s">
        <v>21</v>
      </c>
      <c r="D142">
        <v>12.99</v>
      </c>
      <c r="E142">
        <v>523.48</v>
      </c>
      <c r="F142" t="s">
        <v>10</v>
      </c>
      <c r="G142" t="s">
        <v>22</v>
      </c>
      <c r="H142" t="s">
        <v>38</v>
      </c>
      <c r="I142" t="s">
        <v>13</v>
      </c>
      <c r="J142" t="str">
        <f t="shared" si="6"/>
        <v>Wednesday</v>
      </c>
      <c r="K142">
        <f t="shared" si="7"/>
        <v>6800.0052000000005</v>
      </c>
      <c r="L142" t="str">
        <f t="shared" si="8"/>
        <v>2022</v>
      </c>
    </row>
    <row r="143" spans="1:12" x14ac:dyDescent="0.3">
      <c r="A143">
        <v>10601</v>
      </c>
      <c r="B143" s="1">
        <v>44902</v>
      </c>
      <c r="C143" t="s">
        <v>25</v>
      </c>
      <c r="D143">
        <v>9.9499999999999993</v>
      </c>
      <c r="E143">
        <v>201.01</v>
      </c>
      <c r="F143" t="s">
        <v>10</v>
      </c>
      <c r="G143" t="s">
        <v>22</v>
      </c>
      <c r="H143" t="s">
        <v>38</v>
      </c>
      <c r="I143" t="s">
        <v>13</v>
      </c>
      <c r="J143" t="str">
        <f t="shared" si="6"/>
        <v>Wednesday</v>
      </c>
      <c r="K143">
        <f t="shared" si="7"/>
        <v>2000.0494999999999</v>
      </c>
      <c r="L143" t="str">
        <f t="shared" si="8"/>
        <v>2022</v>
      </c>
    </row>
    <row r="144" spans="1:12" x14ac:dyDescent="0.3">
      <c r="A144">
        <v>10602</v>
      </c>
      <c r="B144" s="1">
        <v>44902</v>
      </c>
      <c r="C144" t="s">
        <v>9</v>
      </c>
      <c r="D144">
        <v>3.49</v>
      </c>
      <c r="E144">
        <v>630.37</v>
      </c>
      <c r="F144" t="s">
        <v>10</v>
      </c>
      <c r="G144" t="s">
        <v>37</v>
      </c>
      <c r="H144" t="s">
        <v>38</v>
      </c>
      <c r="I144" t="s">
        <v>13</v>
      </c>
      <c r="J144" t="str">
        <f t="shared" si="6"/>
        <v>Wednesday</v>
      </c>
      <c r="K144">
        <f t="shared" si="7"/>
        <v>2199.9913000000001</v>
      </c>
      <c r="L144" t="str">
        <f t="shared" si="8"/>
        <v>2022</v>
      </c>
    </row>
    <row r="145" spans="1:12" x14ac:dyDescent="0.3">
      <c r="A145">
        <v>10603</v>
      </c>
      <c r="B145" s="1">
        <v>44902</v>
      </c>
      <c r="C145" t="s">
        <v>14</v>
      </c>
      <c r="D145">
        <v>2.95</v>
      </c>
      <c r="E145">
        <v>677.97</v>
      </c>
      <c r="F145" t="s">
        <v>10</v>
      </c>
      <c r="G145" t="s">
        <v>37</v>
      </c>
      <c r="H145" t="s">
        <v>38</v>
      </c>
      <c r="I145" t="s">
        <v>13</v>
      </c>
      <c r="J145" t="str">
        <f t="shared" si="6"/>
        <v>Wednesday</v>
      </c>
      <c r="K145">
        <f t="shared" si="7"/>
        <v>2000.0115000000003</v>
      </c>
      <c r="L145" t="str">
        <f t="shared" si="8"/>
        <v>2022</v>
      </c>
    </row>
    <row r="146" spans="1:12" x14ac:dyDescent="0.3">
      <c r="A146">
        <v>10604</v>
      </c>
      <c r="B146" s="1">
        <v>44902</v>
      </c>
      <c r="C146" t="s">
        <v>17</v>
      </c>
      <c r="D146">
        <v>4.99</v>
      </c>
      <c r="E146">
        <v>200.4</v>
      </c>
      <c r="F146" t="s">
        <v>10</v>
      </c>
      <c r="G146" t="s">
        <v>37</v>
      </c>
      <c r="H146" t="s">
        <v>38</v>
      </c>
      <c r="I146" t="s">
        <v>13</v>
      </c>
      <c r="J146" t="str">
        <f t="shared" si="6"/>
        <v>Wednesday</v>
      </c>
      <c r="K146">
        <f t="shared" si="7"/>
        <v>999.99600000000009</v>
      </c>
      <c r="L146" t="str">
        <f t="shared" si="8"/>
        <v>2022</v>
      </c>
    </row>
    <row r="147" spans="1:12" x14ac:dyDescent="0.3">
      <c r="A147">
        <v>10605</v>
      </c>
      <c r="B147" s="1">
        <v>44903</v>
      </c>
      <c r="C147" t="s">
        <v>21</v>
      </c>
      <c r="D147">
        <v>12.99</v>
      </c>
      <c r="E147">
        <v>538.88</v>
      </c>
      <c r="F147" t="s">
        <v>10</v>
      </c>
      <c r="G147" t="s">
        <v>37</v>
      </c>
      <c r="H147" t="s">
        <v>38</v>
      </c>
      <c r="I147" t="s">
        <v>13</v>
      </c>
      <c r="J147" t="str">
        <f t="shared" si="6"/>
        <v>Thursday</v>
      </c>
      <c r="K147">
        <f t="shared" si="7"/>
        <v>7000.0511999999999</v>
      </c>
      <c r="L147" t="str">
        <f t="shared" si="8"/>
        <v>2022</v>
      </c>
    </row>
    <row r="148" spans="1:12" x14ac:dyDescent="0.3">
      <c r="A148">
        <v>10606</v>
      </c>
      <c r="B148" s="1">
        <v>44903</v>
      </c>
      <c r="C148" t="s">
        <v>25</v>
      </c>
      <c r="D148">
        <v>9.9499999999999993</v>
      </c>
      <c r="E148">
        <v>201.01</v>
      </c>
      <c r="F148" t="s">
        <v>10</v>
      </c>
      <c r="G148" t="s">
        <v>37</v>
      </c>
      <c r="H148" t="s">
        <v>38</v>
      </c>
      <c r="I148" t="s">
        <v>13</v>
      </c>
      <c r="J148" t="str">
        <f t="shared" si="6"/>
        <v>Thursday</v>
      </c>
      <c r="K148">
        <f t="shared" si="7"/>
        <v>2000.0494999999999</v>
      </c>
      <c r="L148" t="str">
        <f t="shared" si="8"/>
        <v>2022</v>
      </c>
    </row>
    <row r="149" spans="1:12" x14ac:dyDescent="0.3">
      <c r="A149">
        <v>10607</v>
      </c>
      <c r="B149" s="1">
        <v>44903</v>
      </c>
      <c r="C149" t="s">
        <v>9</v>
      </c>
      <c r="D149">
        <v>3.49</v>
      </c>
      <c r="E149">
        <v>630.37</v>
      </c>
      <c r="F149" t="s">
        <v>10</v>
      </c>
      <c r="G149" t="s">
        <v>37</v>
      </c>
      <c r="H149" t="s">
        <v>38</v>
      </c>
      <c r="I149" t="s">
        <v>13</v>
      </c>
      <c r="J149" t="str">
        <f t="shared" si="6"/>
        <v>Thursday</v>
      </c>
      <c r="K149">
        <f t="shared" si="7"/>
        <v>2199.9913000000001</v>
      </c>
      <c r="L149" t="str">
        <f t="shared" si="8"/>
        <v>2022</v>
      </c>
    </row>
    <row r="150" spans="1:12" x14ac:dyDescent="0.3">
      <c r="A150">
        <v>10608</v>
      </c>
      <c r="B150" s="1">
        <v>44903</v>
      </c>
      <c r="C150" t="s">
        <v>14</v>
      </c>
      <c r="D150">
        <v>2.95</v>
      </c>
      <c r="E150">
        <v>677.97</v>
      </c>
      <c r="F150" t="s">
        <v>10</v>
      </c>
      <c r="G150" t="s">
        <v>11</v>
      </c>
      <c r="H150" t="s">
        <v>38</v>
      </c>
      <c r="I150" t="s">
        <v>13</v>
      </c>
      <c r="J150" t="str">
        <f t="shared" si="6"/>
        <v>Thursday</v>
      </c>
      <c r="K150">
        <f t="shared" si="7"/>
        <v>2000.0115000000003</v>
      </c>
      <c r="L150" t="str">
        <f t="shared" si="8"/>
        <v>2022</v>
      </c>
    </row>
    <row r="151" spans="1:12" x14ac:dyDescent="0.3">
      <c r="A151">
        <v>10609</v>
      </c>
      <c r="B151" s="1">
        <v>44903</v>
      </c>
      <c r="C151" t="s">
        <v>17</v>
      </c>
      <c r="D151">
        <v>4.99</v>
      </c>
      <c r="E151">
        <v>200.4</v>
      </c>
      <c r="F151" t="s">
        <v>10</v>
      </c>
      <c r="G151" t="s">
        <v>11</v>
      </c>
      <c r="H151" t="s">
        <v>38</v>
      </c>
      <c r="I151" t="s">
        <v>13</v>
      </c>
      <c r="J151" t="str">
        <f t="shared" si="6"/>
        <v>Thursday</v>
      </c>
      <c r="K151">
        <f t="shared" si="7"/>
        <v>999.99600000000009</v>
      </c>
      <c r="L151" t="str">
        <f t="shared" si="8"/>
        <v>2022</v>
      </c>
    </row>
    <row r="152" spans="1:12" x14ac:dyDescent="0.3">
      <c r="A152">
        <v>10610</v>
      </c>
      <c r="B152" s="1">
        <v>44904</v>
      </c>
      <c r="C152" t="s">
        <v>21</v>
      </c>
      <c r="D152">
        <v>12.99</v>
      </c>
      <c r="E152">
        <v>569.66999999999996</v>
      </c>
      <c r="F152" t="s">
        <v>10</v>
      </c>
      <c r="G152" t="s">
        <v>11</v>
      </c>
      <c r="H152" t="s">
        <v>38</v>
      </c>
      <c r="I152" t="s">
        <v>13</v>
      </c>
      <c r="J152" t="str">
        <f t="shared" si="6"/>
        <v>Friday</v>
      </c>
      <c r="K152">
        <f t="shared" si="7"/>
        <v>7400.0132999999996</v>
      </c>
      <c r="L152" t="str">
        <f t="shared" si="8"/>
        <v>2022</v>
      </c>
    </row>
    <row r="153" spans="1:12" x14ac:dyDescent="0.3">
      <c r="A153">
        <v>10611</v>
      </c>
      <c r="B153" s="1">
        <v>44904</v>
      </c>
      <c r="C153" t="s">
        <v>25</v>
      </c>
      <c r="D153">
        <v>9.9499999999999993</v>
      </c>
      <c r="E153">
        <v>201.01</v>
      </c>
      <c r="F153" t="s">
        <v>10</v>
      </c>
      <c r="G153" t="s">
        <v>11</v>
      </c>
      <c r="H153" t="s">
        <v>38</v>
      </c>
      <c r="I153" t="s">
        <v>13</v>
      </c>
      <c r="J153" t="str">
        <f t="shared" si="6"/>
        <v>Friday</v>
      </c>
      <c r="K153">
        <f t="shared" si="7"/>
        <v>2000.0494999999999</v>
      </c>
      <c r="L153" t="str">
        <f t="shared" si="8"/>
        <v>2022</v>
      </c>
    </row>
    <row r="154" spans="1:12" x14ac:dyDescent="0.3">
      <c r="A154">
        <v>10612</v>
      </c>
      <c r="B154" s="1">
        <v>44904</v>
      </c>
      <c r="C154" t="s">
        <v>9</v>
      </c>
      <c r="D154">
        <v>3.49</v>
      </c>
      <c r="E154">
        <v>630.37</v>
      </c>
      <c r="F154" t="s">
        <v>10</v>
      </c>
      <c r="G154" t="s">
        <v>11</v>
      </c>
      <c r="H154" t="s">
        <v>38</v>
      </c>
      <c r="I154" t="s">
        <v>13</v>
      </c>
      <c r="J154" t="str">
        <f t="shared" si="6"/>
        <v>Friday</v>
      </c>
      <c r="K154">
        <f t="shared" si="7"/>
        <v>2199.9913000000001</v>
      </c>
      <c r="L154" t="str">
        <f t="shared" si="8"/>
        <v>2022</v>
      </c>
    </row>
    <row r="155" spans="1:12" x14ac:dyDescent="0.3">
      <c r="A155">
        <v>10613</v>
      </c>
      <c r="B155" s="1">
        <v>44904</v>
      </c>
      <c r="C155" t="s">
        <v>14</v>
      </c>
      <c r="D155">
        <v>2.95</v>
      </c>
      <c r="E155">
        <v>677.97</v>
      </c>
      <c r="F155" t="s">
        <v>10</v>
      </c>
      <c r="G155" t="s">
        <v>11</v>
      </c>
      <c r="H155" t="s">
        <v>38</v>
      </c>
      <c r="I155" t="s">
        <v>13</v>
      </c>
      <c r="J155" t="str">
        <f t="shared" si="6"/>
        <v>Friday</v>
      </c>
      <c r="K155">
        <f t="shared" si="7"/>
        <v>2000.0115000000003</v>
      </c>
      <c r="L155" t="str">
        <f t="shared" si="8"/>
        <v>2022</v>
      </c>
    </row>
    <row r="156" spans="1:12" x14ac:dyDescent="0.3">
      <c r="A156">
        <v>10614</v>
      </c>
      <c r="B156" s="1">
        <v>44904</v>
      </c>
      <c r="C156" t="s">
        <v>17</v>
      </c>
      <c r="D156">
        <v>4.99</v>
      </c>
      <c r="E156">
        <v>200.4</v>
      </c>
      <c r="F156" t="s">
        <v>10</v>
      </c>
      <c r="G156" t="s">
        <v>11</v>
      </c>
      <c r="H156" t="s">
        <v>38</v>
      </c>
      <c r="I156" t="s">
        <v>13</v>
      </c>
      <c r="J156" t="str">
        <f t="shared" si="6"/>
        <v>Friday</v>
      </c>
      <c r="K156">
        <f t="shared" si="7"/>
        <v>999.99600000000009</v>
      </c>
      <c r="L156" t="str">
        <f t="shared" si="8"/>
        <v>2022</v>
      </c>
    </row>
    <row r="157" spans="1:12" x14ac:dyDescent="0.3">
      <c r="A157">
        <v>10615</v>
      </c>
      <c r="B157" s="1">
        <v>44905</v>
      </c>
      <c r="C157" t="s">
        <v>21</v>
      </c>
      <c r="D157">
        <v>12.99</v>
      </c>
      <c r="E157">
        <v>569.66999999999996</v>
      </c>
      <c r="F157" t="s">
        <v>10</v>
      </c>
      <c r="G157" t="s">
        <v>11</v>
      </c>
      <c r="H157" t="s">
        <v>38</v>
      </c>
      <c r="I157" t="s">
        <v>13</v>
      </c>
      <c r="J157" t="str">
        <f t="shared" si="6"/>
        <v>Saturday</v>
      </c>
      <c r="K157">
        <f t="shared" si="7"/>
        <v>7400.0132999999996</v>
      </c>
      <c r="L157" t="str">
        <f t="shared" si="8"/>
        <v>2022</v>
      </c>
    </row>
    <row r="158" spans="1:12" x14ac:dyDescent="0.3">
      <c r="A158">
        <v>10616</v>
      </c>
      <c r="B158" s="1">
        <v>44905</v>
      </c>
      <c r="C158" t="s">
        <v>25</v>
      </c>
      <c r="D158">
        <v>9.9499999999999993</v>
      </c>
      <c r="E158">
        <v>201.01</v>
      </c>
      <c r="F158" t="s">
        <v>10</v>
      </c>
      <c r="G158" t="s">
        <v>11</v>
      </c>
      <c r="H158" t="s">
        <v>38</v>
      </c>
      <c r="I158" t="s">
        <v>13</v>
      </c>
      <c r="J158" t="str">
        <f t="shared" si="6"/>
        <v>Saturday</v>
      </c>
      <c r="K158">
        <f t="shared" si="7"/>
        <v>2000.0494999999999</v>
      </c>
      <c r="L158" t="str">
        <f t="shared" si="8"/>
        <v>2022</v>
      </c>
    </row>
    <row r="159" spans="1:12" x14ac:dyDescent="0.3">
      <c r="A159">
        <v>10617</v>
      </c>
      <c r="B159" s="1">
        <v>44905</v>
      </c>
      <c r="C159" t="s">
        <v>9</v>
      </c>
      <c r="D159">
        <v>3.49</v>
      </c>
      <c r="E159">
        <v>630.37</v>
      </c>
      <c r="F159" t="s">
        <v>10</v>
      </c>
      <c r="G159" t="s">
        <v>11</v>
      </c>
      <c r="H159" t="s">
        <v>38</v>
      </c>
      <c r="I159" t="s">
        <v>13</v>
      </c>
      <c r="J159" t="str">
        <f t="shared" si="6"/>
        <v>Saturday</v>
      </c>
      <c r="K159">
        <f t="shared" si="7"/>
        <v>2199.9913000000001</v>
      </c>
      <c r="L159" t="str">
        <f t="shared" si="8"/>
        <v>2022</v>
      </c>
    </row>
    <row r="160" spans="1:12" x14ac:dyDescent="0.3">
      <c r="A160">
        <v>10618</v>
      </c>
      <c r="B160" s="1">
        <v>44905</v>
      </c>
      <c r="C160" t="s">
        <v>14</v>
      </c>
      <c r="D160">
        <v>2.95</v>
      </c>
      <c r="E160">
        <v>677.97</v>
      </c>
      <c r="F160" t="s">
        <v>10</v>
      </c>
      <c r="G160" t="s">
        <v>11</v>
      </c>
      <c r="H160" t="s">
        <v>38</v>
      </c>
      <c r="I160" t="s">
        <v>13</v>
      </c>
      <c r="J160" t="str">
        <f t="shared" si="6"/>
        <v>Saturday</v>
      </c>
      <c r="K160">
        <f t="shared" si="7"/>
        <v>2000.0115000000003</v>
      </c>
      <c r="L160" t="str">
        <f t="shared" si="8"/>
        <v>2022</v>
      </c>
    </row>
    <row r="161" spans="1:12" x14ac:dyDescent="0.3">
      <c r="A161">
        <v>10619</v>
      </c>
      <c r="B161" s="1">
        <v>44905</v>
      </c>
      <c r="C161" t="s">
        <v>17</v>
      </c>
      <c r="D161">
        <v>4.99</v>
      </c>
      <c r="E161">
        <v>200.4</v>
      </c>
      <c r="F161" t="s">
        <v>10</v>
      </c>
      <c r="G161" t="s">
        <v>11</v>
      </c>
      <c r="H161" t="s">
        <v>38</v>
      </c>
      <c r="I161" t="s">
        <v>13</v>
      </c>
      <c r="J161" t="str">
        <f t="shared" si="6"/>
        <v>Saturday</v>
      </c>
      <c r="K161">
        <f t="shared" si="7"/>
        <v>999.99600000000009</v>
      </c>
      <c r="L161" t="str">
        <f t="shared" si="8"/>
        <v>2022</v>
      </c>
    </row>
    <row r="162" spans="1:12" x14ac:dyDescent="0.3">
      <c r="A162">
        <v>10620</v>
      </c>
      <c r="B162" s="1">
        <v>44906</v>
      </c>
      <c r="C162" t="s">
        <v>21</v>
      </c>
      <c r="D162">
        <v>12.99</v>
      </c>
      <c r="E162">
        <v>585.07000000000005</v>
      </c>
      <c r="F162" t="s">
        <v>10</v>
      </c>
      <c r="G162" t="s">
        <v>11</v>
      </c>
      <c r="H162" t="s">
        <v>38</v>
      </c>
      <c r="I162" t="s">
        <v>13</v>
      </c>
      <c r="J162" t="str">
        <f t="shared" si="6"/>
        <v>Sunday</v>
      </c>
      <c r="K162">
        <f t="shared" si="7"/>
        <v>7600.0593000000008</v>
      </c>
      <c r="L162" t="str">
        <f t="shared" si="8"/>
        <v>2022</v>
      </c>
    </row>
    <row r="163" spans="1:12" x14ac:dyDescent="0.3">
      <c r="A163">
        <v>10621</v>
      </c>
      <c r="B163" s="1">
        <v>44906</v>
      </c>
      <c r="C163" t="s">
        <v>25</v>
      </c>
      <c r="D163">
        <v>9.9499999999999993</v>
      </c>
      <c r="E163">
        <v>201.01</v>
      </c>
      <c r="F163" t="s">
        <v>10</v>
      </c>
      <c r="G163" t="s">
        <v>11</v>
      </c>
      <c r="H163" t="s">
        <v>38</v>
      </c>
      <c r="I163" t="s">
        <v>13</v>
      </c>
      <c r="J163" t="str">
        <f t="shared" si="6"/>
        <v>Sunday</v>
      </c>
      <c r="K163">
        <f t="shared" si="7"/>
        <v>2000.0494999999999</v>
      </c>
      <c r="L163" t="str">
        <f t="shared" si="8"/>
        <v>2022</v>
      </c>
    </row>
    <row r="164" spans="1:12" x14ac:dyDescent="0.3">
      <c r="A164">
        <v>10622</v>
      </c>
      <c r="B164" s="1">
        <v>44906</v>
      </c>
      <c r="C164" t="s">
        <v>9</v>
      </c>
      <c r="D164">
        <v>3.49</v>
      </c>
      <c r="E164">
        <v>630.37</v>
      </c>
      <c r="F164" t="s">
        <v>10</v>
      </c>
      <c r="G164" t="s">
        <v>11</v>
      </c>
      <c r="H164" t="s">
        <v>38</v>
      </c>
      <c r="I164" t="s">
        <v>13</v>
      </c>
      <c r="J164" t="str">
        <f t="shared" si="6"/>
        <v>Sunday</v>
      </c>
      <c r="K164">
        <f t="shared" si="7"/>
        <v>2199.9913000000001</v>
      </c>
      <c r="L164" t="str">
        <f t="shared" si="8"/>
        <v>2022</v>
      </c>
    </row>
    <row r="165" spans="1:12" x14ac:dyDescent="0.3">
      <c r="A165">
        <v>10623</v>
      </c>
      <c r="B165" s="1">
        <v>44906</v>
      </c>
      <c r="C165" t="s">
        <v>14</v>
      </c>
      <c r="D165">
        <v>2.95</v>
      </c>
      <c r="E165">
        <v>745.76</v>
      </c>
      <c r="F165" t="s">
        <v>10</v>
      </c>
      <c r="G165" t="s">
        <v>11</v>
      </c>
      <c r="H165" t="s">
        <v>38</v>
      </c>
      <c r="I165" t="s">
        <v>13</v>
      </c>
      <c r="J165" t="str">
        <f t="shared" si="6"/>
        <v>Sunday</v>
      </c>
      <c r="K165">
        <f t="shared" si="7"/>
        <v>2199.9920000000002</v>
      </c>
      <c r="L165" t="str">
        <f t="shared" si="8"/>
        <v>2022</v>
      </c>
    </row>
    <row r="166" spans="1:12" x14ac:dyDescent="0.3">
      <c r="A166">
        <v>10624</v>
      </c>
      <c r="B166" s="1">
        <v>44906</v>
      </c>
      <c r="C166" t="s">
        <v>17</v>
      </c>
      <c r="D166">
        <v>4.99</v>
      </c>
      <c r="E166">
        <v>200.4</v>
      </c>
      <c r="F166" t="s">
        <v>10</v>
      </c>
      <c r="G166" t="s">
        <v>11</v>
      </c>
      <c r="H166" t="s">
        <v>38</v>
      </c>
      <c r="I166" t="s">
        <v>13</v>
      </c>
      <c r="J166" t="str">
        <f t="shared" si="6"/>
        <v>Sunday</v>
      </c>
      <c r="K166">
        <f t="shared" si="7"/>
        <v>999.99600000000009</v>
      </c>
      <c r="L166" t="str">
        <f t="shared" si="8"/>
        <v>2022</v>
      </c>
    </row>
    <row r="167" spans="1:12" x14ac:dyDescent="0.3">
      <c r="A167">
        <v>10625</v>
      </c>
      <c r="B167" s="1">
        <v>44907</v>
      </c>
      <c r="C167" t="s">
        <v>21</v>
      </c>
      <c r="D167">
        <v>12.99</v>
      </c>
      <c r="E167">
        <v>569.66999999999996</v>
      </c>
      <c r="F167" t="s">
        <v>10</v>
      </c>
      <c r="G167" t="s">
        <v>11</v>
      </c>
      <c r="H167" t="s">
        <v>38</v>
      </c>
      <c r="I167" t="s">
        <v>13</v>
      </c>
      <c r="J167" t="str">
        <f t="shared" si="6"/>
        <v>Monday</v>
      </c>
      <c r="K167">
        <f t="shared" si="7"/>
        <v>7400.0132999999996</v>
      </c>
      <c r="L167" t="str">
        <f t="shared" si="8"/>
        <v>2022</v>
      </c>
    </row>
    <row r="168" spans="1:12" x14ac:dyDescent="0.3">
      <c r="A168">
        <v>10626</v>
      </c>
      <c r="B168" s="1">
        <v>44907</v>
      </c>
      <c r="C168" t="s">
        <v>25</v>
      </c>
      <c r="D168">
        <v>9.9499999999999993</v>
      </c>
      <c r="E168">
        <v>201.01</v>
      </c>
      <c r="F168" t="s">
        <v>10</v>
      </c>
      <c r="G168" t="s">
        <v>11</v>
      </c>
      <c r="H168" t="s">
        <v>38</v>
      </c>
      <c r="I168" t="s">
        <v>13</v>
      </c>
      <c r="J168" t="str">
        <f t="shared" si="6"/>
        <v>Monday</v>
      </c>
      <c r="K168">
        <f t="shared" si="7"/>
        <v>2000.0494999999999</v>
      </c>
      <c r="L168" t="str">
        <f t="shared" si="8"/>
        <v>2022</v>
      </c>
    </row>
    <row r="169" spans="1:12" x14ac:dyDescent="0.3">
      <c r="A169">
        <v>10627</v>
      </c>
      <c r="B169" s="1">
        <v>44907</v>
      </c>
      <c r="C169" t="s">
        <v>9</v>
      </c>
      <c r="D169">
        <v>3.49</v>
      </c>
      <c r="E169">
        <v>630.37</v>
      </c>
      <c r="F169" t="s">
        <v>10</v>
      </c>
      <c r="G169" t="s">
        <v>11</v>
      </c>
      <c r="H169" t="s">
        <v>38</v>
      </c>
      <c r="I169" t="s">
        <v>13</v>
      </c>
      <c r="J169" t="str">
        <f t="shared" si="6"/>
        <v>Monday</v>
      </c>
      <c r="K169">
        <f t="shared" si="7"/>
        <v>2199.9913000000001</v>
      </c>
      <c r="L169" t="str">
        <f t="shared" si="8"/>
        <v>2022</v>
      </c>
    </row>
    <row r="170" spans="1:12" x14ac:dyDescent="0.3">
      <c r="A170">
        <v>10628</v>
      </c>
      <c r="B170" s="1">
        <v>44907</v>
      </c>
      <c r="C170" t="s">
        <v>14</v>
      </c>
      <c r="D170">
        <v>2.95</v>
      </c>
      <c r="E170">
        <v>677.97</v>
      </c>
      <c r="F170" t="s">
        <v>10</v>
      </c>
      <c r="G170" t="s">
        <v>11</v>
      </c>
      <c r="H170" t="s">
        <v>35</v>
      </c>
      <c r="I170" t="s">
        <v>20</v>
      </c>
      <c r="J170" t="str">
        <f t="shared" si="6"/>
        <v>Monday</v>
      </c>
      <c r="K170">
        <f t="shared" si="7"/>
        <v>2000.0115000000003</v>
      </c>
      <c r="L170" t="str">
        <f t="shared" si="8"/>
        <v>2022</v>
      </c>
    </row>
    <row r="171" spans="1:12" x14ac:dyDescent="0.3">
      <c r="A171">
        <v>10629</v>
      </c>
      <c r="B171" s="1">
        <v>44907</v>
      </c>
      <c r="C171" t="s">
        <v>17</v>
      </c>
      <c r="D171">
        <v>4.99</v>
      </c>
      <c r="E171">
        <v>200.4</v>
      </c>
      <c r="F171" t="s">
        <v>10</v>
      </c>
      <c r="G171" t="s">
        <v>11</v>
      </c>
      <c r="H171" t="s">
        <v>35</v>
      </c>
      <c r="I171" t="s">
        <v>20</v>
      </c>
      <c r="J171" t="str">
        <f t="shared" si="6"/>
        <v>Monday</v>
      </c>
      <c r="K171">
        <f t="shared" si="7"/>
        <v>999.99600000000009</v>
      </c>
      <c r="L171" t="str">
        <f t="shared" si="8"/>
        <v>2022</v>
      </c>
    </row>
    <row r="172" spans="1:12" x14ac:dyDescent="0.3">
      <c r="A172">
        <v>10630</v>
      </c>
      <c r="B172" s="1">
        <v>44908</v>
      </c>
      <c r="C172" t="s">
        <v>21</v>
      </c>
      <c r="D172">
        <v>12.99</v>
      </c>
      <c r="E172">
        <v>569.66999999999996</v>
      </c>
      <c r="F172" t="s">
        <v>10</v>
      </c>
      <c r="G172" t="s">
        <v>37</v>
      </c>
      <c r="H172" t="s">
        <v>35</v>
      </c>
      <c r="I172" t="s">
        <v>20</v>
      </c>
      <c r="J172" t="str">
        <f t="shared" si="6"/>
        <v>Tuesday</v>
      </c>
      <c r="K172">
        <f t="shared" si="7"/>
        <v>7400.0132999999996</v>
      </c>
      <c r="L172" t="str">
        <f t="shared" si="8"/>
        <v>2022</v>
      </c>
    </row>
    <row r="173" spans="1:12" x14ac:dyDescent="0.3">
      <c r="A173">
        <v>10631</v>
      </c>
      <c r="B173" s="1">
        <v>44908</v>
      </c>
      <c r="C173" t="s">
        <v>25</v>
      </c>
      <c r="D173">
        <v>9.9499999999999993</v>
      </c>
      <c r="E173">
        <v>201.01</v>
      </c>
      <c r="F173" t="s">
        <v>10</v>
      </c>
      <c r="G173" t="s">
        <v>11</v>
      </c>
      <c r="H173" t="s">
        <v>35</v>
      </c>
      <c r="I173" t="s">
        <v>20</v>
      </c>
      <c r="J173" t="str">
        <f t="shared" si="6"/>
        <v>Tuesday</v>
      </c>
      <c r="K173">
        <f t="shared" si="7"/>
        <v>2000.0494999999999</v>
      </c>
      <c r="L173" t="str">
        <f t="shared" si="8"/>
        <v>2022</v>
      </c>
    </row>
    <row r="174" spans="1:12" x14ac:dyDescent="0.3">
      <c r="A174">
        <v>10632</v>
      </c>
      <c r="B174" s="1">
        <v>44908</v>
      </c>
      <c r="C174" t="s">
        <v>9</v>
      </c>
      <c r="D174">
        <v>3.49</v>
      </c>
      <c r="E174">
        <v>630.37</v>
      </c>
      <c r="F174" t="s">
        <v>10</v>
      </c>
      <c r="G174" t="s">
        <v>11</v>
      </c>
      <c r="H174" t="s">
        <v>35</v>
      </c>
      <c r="I174" t="s">
        <v>20</v>
      </c>
      <c r="J174" t="str">
        <f t="shared" si="6"/>
        <v>Tuesday</v>
      </c>
      <c r="K174">
        <f t="shared" si="7"/>
        <v>2199.9913000000001</v>
      </c>
      <c r="L174" t="str">
        <f t="shared" si="8"/>
        <v>2022</v>
      </c>
    </row>
    <row r="175" spans="1:12" x14ac:dyDescent="0.3">
      <c r="A175">
        <v>10633</v>
      </c>
      <c r="B175" s="1">
        <v>44908</v>
      </c>
      <c r="C175" t="s">
        <v>14</v>
      </c>
      <c r="D175">
        <v>2.95</v>
      </c>
      <c r="E175">
        <v>677.97</v>
      </c>
      <c r="F175" t="s">
        <v>10</v>
      </c>
      <c r="G175" t="s">
        <v>11</v>
      </c>
      <c r="H175" t="s">
        <v>35</v>
      </c>
      <c r="I175" t="s">
        <v>20</v>
      </c>
      <c r="J175" t="str">
        <f t="shared" si="6"/>
        <v>Tuesday</v>
      </c>
      <c r="K175">
        <f t="shared" si="7"/>
        <v>2000.0115000000003</v>
      </c>
      <c r="L175" t="str">
        <f t="shared" si="8"/>
        <v>2022</v>
      </c>
    </row>
    <row r="176" spans="1:12" x14ac:dyDescent="0.3">
      <c r="A176">
        <v>10634</v>
      </c>
      <c r="B176" s="1">
        <v>44908</v>
      </c>
      <c r="C176" t="s">
        <v>17</v>
      </c>
      <c r="D176">
        <v>4.99</v>
      </c>
      <c r="E176">
        <v>200.4</v>
      </c>
      <c r="F176" t="s">
        <v>10</v>
      </c>
      <c r="G176" t="s">
        <v>11</v>
      </c>
      <c r="H176" t="s">
        <v>35</v>
      </c>
      <c r="I176" t="s">
        <v>20</v>
      </c>
      <c r="J176" t="str">
        <f t="shared" si="6"/>
        <v>Tuesday</v>
      </c>
      <c r="K176">
        <f t="shared" si="7"/>
        <v>999.99600000000009</v>
      </c>
      <c r="L176" t="str">
        <f t="shared" si="8"/>
        <v>2022</v>
      </c>
    </row>
    <row r="177" spans="1:12" x14ac:dyDescent="0.3">
      <c r="A177">
        <v>10635</v>
      </c>
      <c r="B177" s="1">
        <v>44909</v>
      </c>
      <c r="C177" t="s">
        <v>21</v>
      </c>
      <c r="D177">
        <v>12.99</v>
      </c>
      <c r="E177">
        <v>554.27</v>
      </c>
      <c r="F177" t="s">
        <v>10</v>
      </c>
      <c r="G177" t="s">
        <v>11</v>
      </c>
      <c r="H177" t="s">
        <v>35</v>
      </c>
      <c r="I177" t="s">
        <v>20</v>
      </c>
      <c r="J177" t="str">
        <f t="shared" si="6"/>
        <v>Wednesday</v>
      </c>
      <c r="K177">
        <f t="shared" si="7"/>
        <v>7199.9673000000003</v>
      </c>
      <c r="L177" t="str">
        <f t="shared" si="8"/>
        <v>2022</v>
      </c>
    </row>
    <row r="178" spans="1:12" x14ac:dyDescent="0.3">
      <c r="A178">
        <v>10636</v>
      </c>
      <c r="B178" s="1">
        <v>44909</v>
      </c>
      <c r="C178" t="s">
        <v>25</v>
      </c>
      <c r="D178">
        <v>9.9499999999999993</v>
      </c>
      <c r="E178">
        <v>221.11</v>
      </c>
      <c r="F178" t="s">
        <v>10</v>
      </c>
      <c r="G178" t="s">
        <v>11</v>
      </c>
      <c r="H178" t="s">
        <v>35</v>
      </c>
      <c r="I178" t="s">
        <v>20</v>
      </c>
      <c r="J178" t="str">
        <f t="shared" si="6"/>
        <v>Wednesday</v>
      </c>
      <c r="K178">
        <f t="shared" si="7"/>
        <v>2200.0445</v>
      </c>
      <c r="L178" t="str">
        <f t="shared" si="8"/>
        <v>2022</v>
      </c>
    </row>
    <row r="179" spans="1:12" x14ac:dyDescent="0.3">
      <c r="A179">
        <v>10637</v>
      </c>
      <c r="B179" s="1">
        <v>44909</v>
      </c>
      <c r="C179" t="s">
        <v>9</v>
      </c>
      <c r="D179">
        <v>3.49</v>
      </c>
      <c r="E179">
        <v>630.37</v>
      </c>
      <c r="F179" t="s">
        <v>10</v>
      </c>
      <c r="G179" t="s">
        <v>11</v>
      </c>
      <c r="H179" t="s">
        <v>35</v>
      </c>
      <c r="I179" t="s">
        <v>20</v>
      </c>
      <c r="J179" t="str">
        <f t="shared" si="6"/>
        <v>Wednesday</v>
      </c>
      <c r="K179">
        <f t="shared" si="7"/>
        <v>2199.9913000000001</v>
      </c>
      <c r="L179" t="str">
        <f t="shared" si="8"/>
        <v>2022</v>
      </c>
    </row>
    <row r="180" spans="1:12" x14ac:dyDescent="0.3">
      <c r="A180">
        <v>10638</v>
      </c>
      <c r="B180" s="1">
        <v>44909</v>
      </c>
      <c r="C180" t="s">
        <v>14</v>
      </c>
      <c r="D180">
        <v>2.95</v>
      </c>
      <c r="E180">
        <v>677.97</v>
      </c>
      <c r="F180" t="s">
        <v>10</v>
      </c>
      <c r="G180" t="s">
        <v>11</v>
      </c>
      <c r="H180" t="s">
        <v>35</v>
      </c>
      <c r="I180" t="s">
        <v>20</v>
      </c>
      <c r="J180" t="str">
        <f t="shared" si="6"/>
        <v>Wednesday</v>
      </c>
      <c r="K180">
        <f t="shared" si="7"/>
        <v>2000.0115000000003</v>
      </c>
      <c r="L180" t="str">
        <f t="shared" si="8"/>
        <v>2022</v>
      </c>
    </row>
    <row r="181" spans="1:12" x14ac:dyDescent="0.3">
      <c r="A181">
        <v>10639</v>
      </c>
      <c r="B181" s="1">
        <v>44909</v>
      </c>
      <c r="C181" t="s">
        <v>17</v>
      </c>
      <c r="D181">
        <v>4.99</v>
      </c>
      <c r="E181">
        <v>200.4</v>
      </c>
      <c r="F181" t="s">
        <v>10</v>
      </c>
      <c r="G181" t="s">
        <v>11</v>
      </c>
      <c r="H181" t="s">
        <v>35</v>
      </c>
      <c r="I181" t="s">
        <v>20</v>
      </c>
      <c r="J181" t="str">
        <f t="shared" si="6"/>
        <v>Wednesday</v>
      </c>
      <c r="K181">
        <f t="shared" si="7"/>
        <v>999.99600000000009</v>
      </c>
      <c r="L181" t="str">
        <f t="shared" si="8"/>
        <v>2022</v>
      </c>
    </row>
    <row r="182" spans="1:12" x14ac:dyDescent="0.3">
      <c r="A182">
        <v>10640</v>
      </c>
      <c r="B182" s="1">
        <v>44910</v>
      </c>
      <c r="C182" t="s">
        <v>21</v>
      </c>
      <c r="D182">
        <v>12.99</v>
      </c>
      <c r="E182">
        <v>538.88</v>
      </c>
      <c r="F182" t="s">
        <v>10</v>
      </c>
      <c r="G182" t="s">
        <v>11</v>
      </c>
      <c r="H182" t="s">
        <v>35</v>
      </c>
      <c r="I182" t="s">
        <v>20</v>
      </c>
      <c r="J182" t="str">
        <f t="shared" si="6"/>
        <v>Thursday</v>
      </c>
      <c r="K182">
        <f t="shared" si="7"/>
        <v>7000.0511999999999</v>
      </c>
      <c r="L182" t="str">
        <f t="shared" si="8"/>
        <v>2022</v>
      </c>
    </row>
    <row r="183" spans="1:12" x14ac:dyDescent="0.3">
      <c r="A183">
        <v>10641</v>
      </c>
      <c r="B183" s="1">
        <v>44910</v>
      </c>
      <c r="C183" t="s">
        <v>25</v>
      </c>
      <c r="D183">
        <v>9.9499999999999993</v>
      </c>
      <c r="E183">
        <v>221.11</v>
      </c>
      <c r="F183" t="s">
        <v>10</v>
      </c>
      <c r="G183" t="s">
        <v>11</v>
      </c>
      <c r="H183" t="s">
        <v>35</v>
      </c>
      <c r="I183" t="s">
        <v>20</v>
      </c>
      <c r="J183" t="str">
        <f t="shared" si="6"/>
        <v>Thursday</v>
      </c>
      <c r="K183">
        <f t="shared" si="7"/>
        <v>2200.0445</v>
      </c>
      <c r="L183" t="str">
        <f t="shared" si="8"/>
        <v>2022</v>
      </c>
    </row>
    <row r="184" spans="1:12" x14ac:dyDescent="0.3">
      <c r="A184">
        <v>10642</v>
      </c>
      <c r="B184" s="1">
        <v>44910</v>
      </c>
      <c r="C184" t="s">
        <v>9</v>
      </c>
      <c r="D184">
        <v>3.49</v>
      </c>
      <c r="E184">
        <v>630.37</v>
      </c>
      <c r="F184" t="s">
        <v>10</v>
      </c>
      <c r="G184" t="s">
        <v>37</v>
      </c>
      <c r="H184" t="s">
        <v>35</v>
      </c>
      <c r="I184" t="s">
        <v>20</v>
      </c>
      <c r="J184" t="str">
        <f t="shared" si="6"/>
        <v>Thursday</v>
      </c>
      <c r="K184">
        <f t="shared" si="7"/>
        <v>2199.9913000000001</v>
      </c>
      <c r="L184" t="str">
        <f t="shared" si="8"/>
        <v>2022</v>
      </c>
    </row>
    <row r="185" spans="1:12" x14ac:dyDescent="0.3">
      <c r="A185">
        <v>10643</v>
      </c>
      <c r="B185" s="1">
        <v>44910</v>
      </c>
      <c r="C185" t="s">
        <v>14</v>
      </c>
      <c r="D185">
        <v>2.95</v>
      </c>
      <c r="E185">
        <v>677.97</v>
      </c>
      <c r="F185" t="s">
        <v>10</v>
      </c>
      <c r="G185" t="s">
        <v>37</v>
      </c>
      <c r="H185" t="s">
        <v>35</v>
      </c>
      <c r="I185" t="s">
        <v>20</v>
      </c>
      <c r="J185" t="str">
        <f t="shared" si="6"/>
        <v>Thursday</v>
      </c>
      <c r="K185">
        <f t="shared" si="7"/>
        <v>2000.0115000000003</v>
      </c>
      <c r="L185" t="str">
        <f t="shared" si="8"/>
        <v>2022</v>
      </c>
    </row>
    <row r="186" spans="1:12" x14ac:dyDescent="0.3">
      <c r="A186">
        <v>10644</v>
      </c>
      <c r="B186" s="1">
        <v>44910</v>
      </c>
      <c r="C186" t="s">
        <v>17</v>
      </c>
      <c r="D186">
        <v>4.99</v>
      </c>
      <c r="E186">
        <v>200.4</v>
      </c>
      <c r="F186" t="s">
        <v>10</v>
      </c>
      <c r="G186" t="s">
        <v>37</v>
      </c>
      <c r="H186" t="s">
        <v>35</v>
      </c>
      <c r="I186" t="s">
        <v>20</v>
      </c>
      <c r="J186" t="str">
        <f t="shared" si="6"/>
        <v>Thursday</v>
      </c>
      <c r="K186">
        <f t="shared" si="7"/>
        <v>999.99600000000009</v>
      </c>
      <c r="L186" t="str">
        <f t="shared" si="8"/>
        <v>2022</v>
      </c>
    </row>
    <row r="187" spans="1:12" x14ac:dyDescent="0.3">
      <c r="A187">
        <v>10645</v>
      </c>
      <c r="B187" s="1">
        <v>44911</v>
      </c>
      <c r="C187" t="s">
        <v>21</v>
      </c>
      <c r="D187">
        <v>12.99</v>
      </c>
      <c r="E187">
        <v>569.66999999999996</v>
      </c>
      <c r="F187" t="s">
        <v>10</v>
      </c>
      <c r="G187" t="s">
        <v>37</v>
      </c>
      <c r="H187" t="s">
        <v>35</v>
      </c>
      <c r="I187" t="s">
        <v>20</v>
      </c>
      <c r="J187" t="str">
        <f t="shared" si="6"/>
        <v>Friday</v>
      </c>
      <c r="K187">
        <f t="shared" si="7"/>
        <v>7400.0132999999996</v>
      </c>
      <c r="L187" t="str">
        <f t="shared" si="8"/>
        <v>2022</v>
      </c>
    </row>
    <row r="188" spans="1:12" x14ac:dyDescent="0.3">
      <c r="A188">
        <v>10646</v>
      </c>
      <c r="B188" s="1">
        <v>44911</v>
      </c>
      <c r="C188" t="s">
        <v>25</v>
      </c>
      <c r="D188">
        <v>9.9499999999999993</v>
      </c>
      <c r="E188">
        <v>221.11</v>
      </c>
      <c r="F188" t="s">
        <v>10</v>
      </c>
      <c r="G188" t="s">
        <v>37</v>
      </c>
      <c r="H188" t="s">
        <v>35</v>
      </c>
      <c r="I188" t="s">
        <v>20</v>
      </c>
      <c r="J188" t="str">
        <f t="shared" si="6"/>
        <v>Friday</v>
      </c>
      <c r="K188">
        <f t="shared" si="7"/>
        <v>2200.0445</v>
      </c>
      <c r="L188" t="str">
        <f t="shared" si="8"/>
        <v>2022</v>
      </c>
    </row>
    <row r="189" spans="1:12" x14ac:dyDescent="0.3">
      <c r="A189">
        <v>10647</v>
      </c>
      <c r="B189" s="1">
        <v>44911</v>
      </c>
      <c r="C189" t="s">
        <v>9</v>
      </c>
      <c r="D189">
        <v>3.49</v>
      </c>
      <c r="E189">
        <v>630.37</v>
      </c>
      <c r="F189" t="s">
        <v>10</v>
      </c>
      <c r="G189" t="s">
        <v>11</v>
      </c>
      <c r="H189" t="s">
        <v>35</v>
      </c>
      <c r="I189" t="s">
        <v>20</v>
      </c>
      <c r="J189" t="str">
        <f t="shared" si="6"/>
        <v>Friday</v>
      </c>
      <c r="K189">
        <f t="shared" si="7"/>
        <v>2199.9913000000001</v>
      </c>
      <c r="L189" t="str">
        <f t="shared" si="8"/>
        <v>2022</v>
      </c>
    </row>
    <row r="190" spans="1:12" x14ac:dyDescent="0.3">
      <c r="A190">
        <v>10648</v>
      </c>
      <c r="B190" s="1">
        <v>44911</v>
      </c>
      <c r="C190" t="s">
        <v>14</v>
      </c>
      <c r="D190">
        <v>2.95</v>
      </c>
      <c r="E190">
        <v>745.76</v>
      </c>
      <c r="F190" t="s">
        <v>10</v>
      </c>
      <c r="G190" t="s">
        <v>11</v>
      </c>
      <c r="H190" t="s">
        <v>35</v>
      </c>
      <c r="I190" t="s">
        <v>20</v>
      </c>
      <c r="J190" t="str">
        <f t="shared" si="6"/>
        <v>Friday</v>
      </c>
      <c r="K190">
        <f t="shared" si="7"/>
        <v>2199.9920000000002</v>
      </c>
      <c r="L190" t="str">
        <f t="shared" si="8"/>
        <v>2022</v>
      </c>
    </row>
    <row r="191" spans="1:12" x14ac:dyDescent="0.3">
      <c r="A191">
        <v>10649</v>
      </c>
      <c r="B191" s="1">
        <v>44911</v>
      </c>
      <c r="C191" t="s">
        <v>17</v>
      </c>
      <c r="D191">
        <v>4.99</v>
      </c>
      <c r="E191">
        <v>200.4</v>
      </c>
      <c r="F191" t="s">
        <v>10</v>
      </c>
      <c r="G191" t="s">
        <v>11</v>
      </c>
      <c r="H191" t="s">
        <v>35</v>
      </c>
      <c r="I191" t="s">
        <v>20</v>
      </c>
      <c r="J191" t="str">
        <f t="shared" si="6"/>
        <v>Friday</v>
      </c>
      <c r="K191">
        <f t="shared" si="7"/>
        <v>999.99600000000009</v>
      </c>
      <c r="L191" t="str">
        <f t="shared" si="8"/>
        <v>2022</v>
      </c>
    </row>
    <row r="192" spans="1:12" x14ac:dyDescent="0.3">
      <c r="A192">
        <v>10650</v>
      </c>
      <c r="B192" s="1">
        <v>44912</v>
      </c>
      <c r="C192" t="s">
        <v>21</v>
      </c>
      <c r="D192">
        <v>12.99</v>
      </c>
      <c r="E192">
        <v>585.07000000000005</v>
      </c>
      <c r="F192" t="s">
        <v>10</v>
      </c>
      <c r="G192" t="s">
        <v>11</v>
      </c>
      <c r="H192" t="s">
        <v>35</v>
      </c>
      <c r="I192" t="s">
        <v>20</v>
      </c>
      <c r="J192" t="str">
        <f t="shared" si="6"/>
        <v>Saturday</v>
      </c>
      <c r="K192">
        <f t="shared" si="7"/>
        <v>7600.0593000000008</v>
      </c>
      <c r="L192" t="str">
        <f t="shared" si="8"/>
        <v>2022</v>
      </c>
    </row>
    <row r="193" spans="1:12" x14ac:dyDescent="0.3">
      <c r="A193">
        <v>10651</v>
      </c>
      <c r="B193" s="1">
        <v>44912</v>
      </c>
      <c r="C193" t="s">
        <v>25</v>
      </c>
      <c r="D193">
        <v>9.9499999999999993</v>
      </c>
      <c r="E193">
        <v>221.11</v>
      </c>
      <c r="F193" t="s">
        <v>10</v>
      </c>
      <c r="G193" t="s">
        <v>11</v>
      </c>
      <c r="H193" t="s">
        <v>35</v>
      </c>
      <c r="I193" t="s">
        <v>20</v>
      </c>
      <c r="J193" t="str">
        <f t="shared" si="6"/>
        <v>Saturday</v>
      </c>
      <c r="K193">
        <f t="shared" si="7"/>
        <v>2200.0445</v>
      </c>
      <c r="L193" t="str">
        <f t="shared" si="8"/>
        <v>2022</v>
      </c>
    </row>
    <row r="194" spans="1:12" x14ac:dyDescent="0.3">
      <c r="A194">
        <v>10652</v>
      </c>
      <c r="B194" s="1">
        <v>44912</v>
      </c>
      <c r="C194" t="s">
        <v>9</v>
      </c>
      <c r="D194">
        <v>3.49</v>
      </c>
      <c r="E194">
        <v>687.68</v>
      </c>
      <c r="F194" t="s">
        <v>10</v>
      </c>
      <c r="G194" t="s">
        <v>11</v>
      </c>
      <c r="H194" t="s">
        <v>35</v>
      </c>
      <c r="I194" t="s">
        <v>20</v>
      </c>
      <c r="J194" t="str">
        <f t="shared" ref="J194:J255" si="9">TEXT(B194,"dddd")</f>
        <v>Saturday</v>
      </c>
      <c r="K194">
        <f t="shared" ref="K194:K255" si="10">D194*E194</f>
        <v>2400.0032000000001</v>
      </c>
      <c r="L194" t="str">
        <f t="shared" ref="L194:L255" si="11">TEXT(B194,"yyyy")</f>
        <v>2022</v>
      </c>
    </row>
    <row r="195" spans="1:12" x14ac:dyDescent="0.3">
      <c r="A195">
        <v>10653</v>
      </c>
      <c r="B195" s="1">
        <v>44912</v>
      </c>
      <c r="C195" t="s">
        <v>14</v>
      </c>
      <c r="D195">
        <v>2.95</v>
      </c>
      <c r="E195">
        <v>745.76</v>
      </c>
      <c r="F195" t="s">
        <v>10</v>
      </c>
      <c r="G195" t="s">
        <v>11</v>
      </c>
      <c r="H195" t="s">
        <v>35</v>
      </c>
      <c r="I195" t="s">
        <v>20</v>
      </c>
      <c r="J195" t="str">
        <f t="shared" si="9"/>
        <v>Saturday</v>
      </c>
      <c r="K195">
        <f t="shared" si="10"/>
        <v>2199.9920000000002</v>
      </c>
      <c r="L195" t="str">
        <f t="shared" si="11"/>
        <v>2022</v>
      </c>
    </row>
    <row r="196" spans="1:12" x14ac:dyDescent="0.3">
      <c r="A196">
        <v>10654</v>
      </c>
      <c r="B196" s="1">
        <v>44912</v>
      </c>
      <c r="C196" t="s">
        <v>17</v>
      </c>
      <c r="D196">
        <v>4.99</v>
      </c>
      <c r="E196">
        <v>200.4</v>
      </c>
      <c r="F196" t="s">
        <v>10</v>
      </c>
      <c r="G196" t="s">
        <v>11</v>
      </c>
      <c r="H196" t="s">
        <v>35</v>
      </c>
      <c r="I196" t="s">
        <v>20</v>
      </c>
      <c r="J196" t="str">
        <f t="shared" si="9"/>
        <v>Saturday</v>
      </c>
      <c r="K196">
        <f t="shared" si="10"/>
        <v>999.99600000000009</v>
      </c>
      <c r="L196" t="str">
        <f t="shared" si="11"/>
        <v>2022</v>
      </c>
    </row>
    <row r="197" spans="1:12" x14ac:dyDescent="0.3">
      <c r="A197">
        <v>10655</v>
      </c>
      <c r="B197" s="1">
        <v>44913</v>
      </c>
      <c r="C197" t="s">
        <v>21</v>
      </c>
      <c r="D197">
        <v>12.99</v>
      </c>
      <c r="E197">
        <v>600.46</v>
      </c>
      <c r="F197" t="s">
        <v>10</v>
      </c>
      <c r="G197" t="s">
        <v>11</v>
      </c>
      <c r="H197" t="s">
        <v>35</v>
      </c>
      <c r="I197" t="s">
        <v>20</v>
      </c>
      <c r="J197" t="str">
        <f t="shared" si="9"/>
        <v>Sunday</v>
      </c>
      <c r="K197">
        <f t="shared" si="10"/>
        <v>7799.9754000000003</v>
      </c>
      <c r="L197" t="str">
        <f t="shared" si="11"/>
        <v>2022</v>
      </c>
    </row>
    <row r="198" spans="1:12" x14ac:dyDescent="0.3">
      <c r="A198">
        <v>10656</v>
      </c>
      <c r="B198" s="1">
        <v>44913</v>
      </c>
      <c r="C198" t="s">
        <v>25</v>
      </c>
      <c r="D198">
        <v>9.9499999999999993</v>
      </c>
      <c r="E198">
        <v>221.11</v>
      </c>
      <c r="F198" t="s">
        <v>10</v>
      </c>
      <c r="G198" t="s">
        <v>11</v>
      </c>
      <c r="H198" t="s">
        <v>35</v>
      </c>
      <c r="I198" t="s">
        <v>20</v>
      </c>
      <c r="J198" t="str">
        <f t="shared" si="9"/>
        <v>Sunday</v>
      </c>
      <c r="K198">
        <f t="shared" si="10"/>
        <v>2200.0445</v>
      </c>
      <c r="L198" t="str">
        <f t="shared" si="11"/>
        <v>2022</v>
      </c>
    </row>
    <row r="199" spans="1:12" x14ac:dyDescent="0.3">
      <c r="A199">
        <v>10657</v>
      </c>
      <c r="B199" s="1">
        <v>44913</v>
      </c>
      <c r="C199" t="s">
        <v>9</v>
      </c>
      <c r="D199">
        <v>3.49</v>
      </c>
      <c r="E199">
        <v>687.68</v>
      </c>
      <c r="F199" t="s">
        <v>10</v>
      </c>
      <c r="G199" t="s">
        <v>11</v>
      </c>
      <c r="H199" t="s">
        <v>35</v>
      </c>
      <c r="I199" t="s">
        <v>20</v>
      </c>
      <c r="J199" t="str">
        <f t="shared" si="9"/>
        <v>Sunday</v>
      </c>
      <c r="K199">
        <f t="shared" si="10"/>
        <v>2400.0032000000001</v>
      </c>
      <c r="L199" t="str">
        <f t="shared" si="11"/>
        <v>2022</v>
      </c>
    </row>
    <row r="200" spans="1:12" x14ac:dyDescent="0.3">
      <c r="A200">
        <v>10658</v>
      </c>
      <c r="B200" s="1">
        <v>44913</v>
      </c>
      <c r="C200" t="s">
        <v>14</v>
      </c>
      <c r="D200">
        <v>2.95</v>
      </c>
      <c r="E200">
        <v>745.76</v>
      </c>
      <c r="F200" t="s">
        <v>10</v>
      </c>
      <c r="G200" t="s">
        <v>37</v>
      </c>
      <c r="H200" t="s">
        <v>35</v>
      </c>
      <c r="I200" t="s">
        <v>20</v>
      </c>
      <c r="J200" t="str">
        <f t="shared" si="9"/>
        <v>Sunday</v>
      </c>
      <c r="K200">
        <f t="shared" si="10"/>
        <v>2199.9920000000002</v>
      </c>
      <c r="L200" t="str">
        <f t="shared" si="11"/>
        <v>2022</v>
      </c>
    </row>
    <row r="201" spans="1:12" x14ac:dyDescent="0.3">
      <c r="A201">
        <v>10659</v>
      </c>
      <c r="B201" s="1">
        <v>44913</v>
      </c>
      <c r="C201" t="s">
        <v>17</v>
      </c>
      <c r="D201">
        <v>4.99</v>
      </c>
      <c r="E201">
        <v>200.4</v>
      </c>
      <c r="F201" t="s">
        <v>10</v>
      </c>
      <c r="G201" t="s">
        <v>37</v>
      </c>
      <c r="H201" t="s">
        <v>35</v>
      </c>
      <c r="I201" t="s">
        <v>20</v>
      </c>
      <c r="J201" t="str">
        <f t="shared" si="9"/>
        <v>Sunday</v>
      </c>
      <c r="K201">
        <f t="shared" si="10"/>
        <v>999.99600000000009</v>
      </c>
      <c r="L201" t="str">
        <f t="shared" si="11"/>
        <v>2022</v>
      </c>
    </row>
    <row r="202" spans="1:12" hidden="1" x14ac:dyDescent="0.3">
      <c r="A202">
        <v>10660</v>
      </c>
      <c r="B202" s="1">
        <v>44914</v>
      </c>
      <c r="C202" t="s">
        <v>21</v>
      </c>
      <c r="D202">
        <v>12.99</v>
      </c>
      <c r="E202">
        <v>631.25</v>
      </c>
      <c r="F202" t="s">
        <v>18</v>
      </c>
      <c r="G202" t="s">
        <v>37</v>
      </c>
      <c r="H202" t="s">
        <v>35</v>
      </c>
      <c r="I202" t="s">
        <v>20</v>
      </c>
      <c r="J202" t="str">
        <f t="shared" si="9"/>
        <v>Monday</v>
      </c>
      <c r="K202">
        <f t="shared" si="10"/>
        <v>8199.9375</v>
      </c>
      <c r="L202" t="str">
        <f t="shared" si="11"/>
        <v>2022</v>
      </c>
    </row>
    <row r="203" spans="1:12" hidden="1" x14ac:dyDescent="0.3">
      <c r="A203">
        <v>10661</v>
      </c>
      <c r="B203" s="1">
        <v>44914</v>
      </c>
      <c r="C203" t="s">
        <v>25</v>
      </c>
      <c r="D203">
        <v>9.9499999999999993</v>
      </c>
      <c r="E203">
        <v>221.11</v>
      </c>
      <c r="F203" t="s">
        <v>18</v>
      </c>
      <c r="G203" t="s">
        <v>37</v>
      </c>
      <c r="H203" t="s">
        <v>35</v>
      </c>
      <c r="I203" t="s">
        <v>20</v>
      </c>
      <c r="J203" t="str">
        <f t="shared" si="9"/>
        <v>Monday</v>
      </c>
      <c r="K203">
        <f t="shared" si="10"/>
        <v>2200.0445</v>
      </c>
      <c r="L203" t="str">
        <f t="shared" si="11"/>
        <v>2022</v>
      </c>
    </row>
    <row r="204" spans="1:12" hidden="1" x14ac:dyDescent="0.3">
      <c r="A204">
        <v>10662</v>
      </c>
      <c r="B204" s="1">
        <v>44914</v>
      </c>
      <c r="C204" t="s">
        <v>9</v>
      </c>
      <c r="D204">
        <v>3.49</v>
      </c>
      <c r="E204">
        <v>630.37</v>
      </c>
      <c r="F204" t="s">
        <v>18</v>
      </c>
      <c r="G204" t="s">
        <v>37</v>
      </c>
      <c r="H204" t="s">
        <v>35</v>
      </c>
      <c r="I204" t="s">
        <v>20</v>
      </c>
      <c r="J204" t="str">
        <f t="shared" si="9"/>
        <v>Monday</v>
      </c>
      <c r="K204">
        <f t="shared" si="10"/>
        <v>2199.9913000000001</v>
      </c>
      <c r="L204" t="str">
        <f t="shared" si="11"/>
        <v>2022</v>
      </c>
    </row>
    <row r="205" spans="1:12" hidden="1" x14ac:dyDescent="0.3">
      <c r="A205">
        <v>10663</v>
      </c>
      <c r="B205" s="1">
        <v>44914</v>
      </c>
      <c r="C205" t="s">
        <v>14</v>
      </c>
      <c r="D205">
        <v>2.95</v>
      </c>
      <c r="E205">
        <v>745.76</v>
      </c>
      <c r="F205" t="s">
        <v>18</v>
      </c>
      <c r="G205" t="s">
        <v>37</v>
      </c>
      <c r="H205" t="s">
        <v>35</v>
      </c>
      <c r="I205" t="s">
        <v>20</v>
      </c>
      <c r="J205" t="str">
        <f t="shared" si="9"/>
        <v>Monday</v>
      </c>
      <c r="K205">
        <f t="shared" si="10"/>
        <v>2199.9920000000002</v>
      </c>
      <c r="L205" t="str">
        <f t="shared" si="11"/>
        <v>2022</v>
      </c>
    </row>
    <row r="206" spans="1:12" hidden="1" x14ac:dyDescent="0.3">
      <c r="A206">
        <v>10664</v>
      </c>
      <c r="B206" s="1">
        <v>44914</v>
      </c>
      <c r="C206" t="s">
        <v>17</v>
      </c>
      <c r="D206">
        <v>4.99</v>
      </c>
      <c r="E206">
        <v>200.4</v>
      </c>
      <c r="F206" t="s">
        <v>18</v>
      </c>
      <c r="G206" t="s">
        <v>37</v>
      </c>
      <c r="H206" t="s">
        <v>35</v>
      </c>
      <c r="I206" t="s">
        <v>20</v>
      </c>
      <c r="J206" t="str">
        <f t="shared" si="9"/>
        <v>Monday</v>
      </c>
      <c r="K206">
        <f t="shared" si="10"/>
        <v>999.99600000000009</v>
      </c>
      <c r="L206" t="str">
        <f t="shared" si="11"/>
        <v>2022</v>
      </c>
    </row>
    <row r="207" spans="1:12" hidden="1" x14ac:dyDescent="0.3">
      <c r="A207">
        <v>10665</v>
      </c>
      <c r="B207" s="1">
        <v>44915</v>
      </c>
      <c r="C207" t="s">
        <v>21</v>
      </c>
      <c r="D207">
        <v>12.99</v>
      </c>
      <c r="E207">
        <v>646.65</v>
      </c>
      <c r="F207" t="s">
        <v>18</v>
      </c>
      <c r="G207" t="s">
        <v>37</v>
      </c>
      <c r="H207" t="s">
        <v>35</v>
      </c>
      <c r="I207" t="s">
        <v>20</v>
      </c>
      <c r="J207" t="str">
        <f t="shared" si="9"/>
        <v>Tuesday</v>
      </c>
      <c r="K207">
        <f t="shared" si="10"/>
        <v>8399.9835000000003</v>
      </c>
      <c r="L207" t="str">
        <f t="shared" si="11"/>
        <v>2022</v>
      </c>
    </row>
    <row r="208" spans="1:12" hidden="1" x14ac:dyDescent="0.3">
      <c r="A208">
        <v>10666</v>
      </c>
      <c r="B208" s="1">
        <v>44915</v>
      </c>
      <c r="C208" t="s">
        <v>25</v>
      </c>
      <c r="D208">
        <v>9.9499999999999993</v>
      </c>
      <c r="E208">
        <v>221.11</v>
      </c>
      <c r="F208" t="s">
        <v>18</v>
      </c>
      <c r="G208" t="s">
        <v>37</v>
      </c>
      <c r="H208" t="s">
        <v>35</v>
      </c>
      <c r="I208" t="s">
        <v>20</v>
      </c>
      <c r="J208" t="str">
        <f t="shared" si="9"/>
        <v>Tuesday</v>
      </c>
      <c r="K208">
        <f t="shared" si="10"/>
        <v>2200.0445</v>
      </c>
      <c r="L208" t="str">
        <f t="shared" si="11"/>
        <v>2022</v>
      </c>
    </row>
    <row r="209" spans="1:12" hidden="1" x14ac:dyDescent="0.3">
      <c r="A209">
        <v>10667</v>
      </c>
      <c r="B209" s="1">
        <v>44915</v>
      </c>
      <c r="C209" t="s">
        <v>9</v>
      </c>
      <c r="D209">
        <v>3.49</v>
      </c>
      <c r="E209">
        <v>630.37</v>
      </c>
      <c r="F209" t="s">
        <v>18</v>
      </c>
      <c r="G209" t="s">
        <v>37</v>
      </c>
      <c r="H209" t="s">
        <v>35</v>
      </c>
      <c r="I209" t="s">
        <v>20</v>
      </c>
      <c r="J209" t="str">
        <f t="shared" si="9"/>
        <v>Tuesday</v>
      </c>
      <c r="K209">
        <f t="shared" si="10"/>
        <v>2199.9913000000001</v>
      </c>
      <c r="L209" t="str">
        <f t="shared" si="11"/>
        <v>2022</v>
      </c>
    </row>
    <row r="210" spans="1:12" hidden="1" x14ac:dyDescent="0.3">
      <c r="A210">
        <v>10668</v>
      </c>
      <c r="B210" s="1">
        <v>44915</v>
      </c>
      <c r="C210" t="s">
        <v>14</v>
      </c>
      <c r="D210">
        <v>2.95</v>
      </c>
      <c r="E210">
        <v>745.76</v>
      </c>
      <c r="F210" t="s">
        <v>18</v>
      </c>
      <c r="G210" t="s">
        <v>37</v>
      </c>
      <c r="H210" t="s">
        <v>35</v>
      </c>
      <c r="I210" t="s">
        <v>20</v>
      </c>
      <c r="J210" t="str">
        <f t="shared" si="9"/>
        <v>Tuesday</v>
      </c>
      <c r="K210">
        <f t="shared" si="10"/>
        <v>2199.9920000000002</v>
      </c>
      <c r="L210" t="str">
        <f t="shared" si="11"/>
        <v>2022</v>
      </c>
    </row>
    <row r="211" spans="1:12" hidden="1" x14ac:dyDescent="0.3">
      <c r="A211">
        <v>10669</v>
      </c>
      <c r="B211" s="1">
        <v>44915</v>
      </c>
      <c r="C211" t="s">
        <v>17</v>
      </c>
      <c r="D211">
        <v>4.99</v>
      </c>
      <c r="E211">
        <v>200.4</v>
      </c>
      <c r="F211" t="s">
        <v>18</v>
      </c>
      <c r="G211" t="s">
        <v>37</v>
      </c>
      <c r="H211" t="s">
        <v>35</v>
      </c>
      <c r="I211" t="s">
        <v>20</v>
      </c>
      <c r="J211" t="str">
        <f t="shared" si="9"/>
        <v>Tuesday</v>
      </c>
      <c r="K211">
        <f t="shared" si="10"/>
        <v>999.99600000000009</v>
      </c>
      <c r="L211" t="str">
        <f t="shared" si="11"/>
        <v>2022</v>
      </c>
    </row>
    <row r="212" spans="1:12" hidden="1" x14ac:dyDescent="0.3">
      <c r="A212">
        <v>10670</v>
      </c>
      <c r="B212" s="1">
        <v>44916</v>
      </c>
      <c r="C212" t="s">
        <v>21</v>
      </c>
      <c r="D212">
        <v>12.99</v>
      </c>
      <c r="E212">
        <v>677.44</v>
      </c>
      <c r="F212" t="s">
        <v>18</v>
      </c>
      <c r="G212" t="s">
        <v>37</v>
      </c>
      <c r="H212" t="s">
        <v>35</v>
      </c>
      <c r="I212" t="s">
        <v>20</v>
      </c>
      <c r="J212" t="str">
        <f t="shared" si="9"/>
        <v>Wednesday</v>
      </c>
      <c r="K212">
        <f t="shared" si="10"/>
        <v>8799.9456000000009</v>
      </c>
      <c r="L212" t="str">
        <f t="shared" si="11"/>
        <v>2022</v>
      </c>
    </row>
    <row r="213" spans="1:12" hidden="1" x14ac:dyDescent="0.3">
      <c r="A213">
        <v>10671</v>
      </c>
      <c r="B213" s="1">
        <v>44916</v>
      </c>
      <c r="C213" t="s">
        <v>25</v>
      </c>
      <c r="D213">
        <v>9.9499999999999993</v>
      </c>
      <c r="E213">
        <v>221.11</v>
      </c>
      <c r="F213" t="s">
        <v>18</v>
      </c>
      <c r="G213" t="s">
        <v>37</v>
      </c>
      <c r="H213" t="s">
        <v>35</v>
      </c>
      <c r="I213" t="s">
        <v>20</v>
      </c>
      <c r="J213" t="str">
        <f t="shared" si="9"/>
        <v>Wednesday</v>
      </c>
      <c r="K213">
        <f t="shared" si="10"/>
        <v>2200.0445</v>
      </c>
      <c r="L213" t="str">
        <f t="shared" si="11"/>
        <v>2022</v>
      </c>
    </row>
    <row r="214" spans="1:12" hidden="1" x14ac:dyDescent="0.3">
      <c r="A214">
        <v>10672</v>
      </c>
      <c r="B214" s="1">
        <v>44916</v>
      </c>
      <c r="C214" t="s">
        <v>9</v>
      </c>
      <c r="D214">
        <v>3.49</v>
      </c>
      <c r="E214">
        <v>630.37</v>
      </c>
      <c r="F214" t="s">
        <v>18</v>
      </c>
      <c r="G214" t="s">
        <v>37</v>
      </c>
      <c r="H214" t="s">
        <v>35</v>
      </c>
      <c r="I214" t="s">
        <v>20</v>
      </c>
      <c r="J214" t="str">
        <f t="shared" si="9"/>
        <v>Wednesday</v>
      </c>
      <c r="K214">
        <f t="shared" si="10"/>
        <v>2199.9913000000001</v>
      </c>
      <c r="L214" t="str">
        <f t="shared" si="11"/>
        <v>2022</v>
      </c>
    </row>
    <row r="215" spans="1:12" hidden="1" x14ac:dyDescent="0.3">
      <c r="A215">
        <v>10673</v>
      </c>
      <c r="B215" s="1">
        <v>44916</v>
      </c>
      <c r="C215" t="s">
        <v>14</v>
      </c>
      <c r="D215">
        <v>2.95</v>
      </c>
      <c r="E215">
        <v>745.76</v>
      </c>
      <c r="F215" t="s">
        <v>18</v>
      </c>
      <c r="G215" t="s">
        <v>37</v>
      </c>
      <c r="H215" t="s">
        <v>35</v>
      </c>
      <c r="I215" t="s">
        <v>20</v>
      </c>
      <c r="J215" t="str">
        <f t="shared" si="9"/>
        <v>Wednesday</v>
      </c>
      <c r="K215">
        <f t="shared" si="10"/>
        <v>2199.9920000000002</v>
      </c>
      <c r="L215" t="str">
        <f t="shared" si="11"/>
        <v>2022</v>
      </c>
    </row>
    <row r="216" spans="1:12" hidden="1" x14ac:dyDescent="0.3">
      <c r="A216">
        <v>10674</v>
      </c>
      <c r="B216" s="1">
        <v>44916</v>
      </c>
      <c r="C216" t="s">
        <v>17</v>
      </c>
      <c r="D216">
        <v>4.99</v>
      </c>
      <c r="E216">
        <v>200.4</v>
      </c>
      <c r="F216" t="s">
        <v>18</v>
      </c>
      <c r="G216" t="s">
        <v>37</v>
      </c>
      <c r="H216" t="s">
        <v>35</v>
      </c>
      <c r="I216" t="s">
        <v>20</v>
      </c>
      <c r="J216" t="str">
        <f t="shared" si="9"/>
        <v>Wednesday</v>
      </c>
      <c r="K216">
        <f t="shared" si="10"/>
        <v>999.99600000000009</v>
      </c>
      <c r="L216" t="str">
        <f t="shared" si="11"/>
        <v>2022</v>
      </c>
    </row>
    <row r="217" spans="1:12" hidden="1" x14ac:dyDescent="0.3">
      <c r="A217">
        <v>10675</v>
      </c>
      <c r="B217" s="1">
        <v>44917</v>
      </c>
      <c r="C217" t="s">
        <v>21</v>
      </c>
      <c r="D217">
        <v>12.99</v>
      </c>
      <c r="E217">
        <v>677.44</v>
      </c>
      <c r="F217" t="s">
        <v>18</v>
      </c>
      <c r="G217" t="s">
        <v>37</v>
      </c>
      <c r="H217" t="s">
        <v>35</v>
      </c>
      <c r="I217" t="s">
        <v>20</v>
      </c>
      <c r="J217" t="str">
        <f t="shared" si="9"/>
        <v>Thursday</v>
      </c>
      <c r="K217">
        <f t="shared" si="10"/>
        <v>8799.9456000000009</v>
      </c>
      <c r="L217" t="str">
        <f t="shared" si="11"/>
        <v>2022</v>
      </c>
    </row>
    <row r="218" spans="1:12" hidden="1" x14ac:dyDescent="0.3">
      <c r="A218">
        <v>10676</v>
      </c>
      <c r="B218" s="1">
        <v>44917</v>
      </c>
      <c r="C218" t="s">
        <v>25</v>
      </c>
      <c r="D218">
        <v>9.9499999999999993</v>
      </c>
      <c r="E218">
        <v>241.21</v>
      </c>
      <c r="F218" t="s">
        <v>18</v>
      </c>
      <c r="G218" t="s">
        <v>37</v>
      </c>
      <c r="H218" t="s">
        <v>35</v>
      </c>
      <c r="I218" t="s">
        <v>20</v>
      </c>
      <c r="J218" t="str">
        <f t="shared" si="9"/>
        <v>Thursday</v>
      </c>
      <c r="K218">
        <f t="shared" si="10"/>
        <v>2400.0394999999999</v>
      </c>
      <c r="L218" t="str">
        <f t="shared" si="11"/>
        <v>2022</v>
      </c>
    </row>
    <row r="219" spans="1:12" hidden="1" x14ac:dyDescent="0.3">
      <c r="A219">
        <v>10677</v>
      </c>
      <c r="B219" s="1">
        <v>44917</v>
      </c>
      <c r="C219" t="s">
        <v>9</v>
      </c>
      <c r="D219">
        <v>3.49</v>
      </c>
      <c r="E219">
        <v>630.37</v>
      </c>
      <c r="F219" t="s">
        <v>18</v>
      </c>
      <c r="G219" t="s">
        <v>37</v>
      </c>
      <c r="H219" t="s">
        <v>35</v>
      </c>
      <c r="I219" t="s">
        <v>20</v>
      </c>
      <c r="J219" t="str">
        <f t="shared" si="9"/>
        <v>Thursday</v>
      </c>
      <c r="K219">
        <f t="shared" si="10"/>
        <v>2199.9913000000001</v>
      </c>
      <c r="L219" t="str">
        <f t="shared" si="11"/>
        <v>2022</v>
      </c>
    </row>
    <row r="220" spans="1:12" hidden="1" x14ac:dyDescent="0.3">
      <c r="A220">
        <v>10678</v>
      </c>
      <c r="B220" s="1">
        <v>44917</v>
      </c>
      <c r="C220" t="s">
        <v>14</v>
      </c>
      <c r="D220">
        <v>2.95</v>
      </c>
      <c r="E220">
        <v>745.76</v>
      </c>
      <c r="F220" t="s">
        <v>18</v>
      </c>
      <c r="G220" t="s">
        <v>37</v>
      </c>
      <c r="H220" t="s">
        <v>35</v>
      </c>
      <c r="I220" t="s">
        <v>20</v>
      </c>
      <c r="J220" t="str">
        <f t="shared" si="9"/>
        <v>Thursday</v>
      </c>
      <c r="K220">
        <f t="shared" si="10"/>
        <v>2199.9920000000002</v>
      </c>
      <c r="L220" t="str">
        <f t="shared" si="11"/>
        <v>2022</v>
      </c>
    </row>
    <row r="221" spans="1:12" hidden="1" x14ac:dyDescent="0.3">
      <c r="A221">
        <v>10679</v>
      </c>
      <c r="B221" s="1">
        <v>44917</v>
      </c>
      <c r="C221" t="s">
        <v>17</v>
      </c>
      <c r="D221">
        <v>4.99</v>
      </c>
      <c r="E221">
        <v>200.4</v>
      </c>
      <c r="F221" t="s">
        <v>18</v>
      </c>
      <c r="G221" t="s">
        <v>37</v>
      </c>
      <c r="H221" t="s">
        <v>35</v>
      </c>
      <c r="I221" t="s">
        <v>20</v>
      </c>
      <c r="J221" t="str">
        <f t="shared" si="9"/>
        <v>Thursday</v>
      </c>
      <c r="K221">
        <f t="shared" si="10"/>
        <v>999.99600000000009</v>
      </c>
      <c r="L221" t="str">
        <f t="shared" si="11"/>
        <v>2022</v>
      </c>
    </row>
    <row r="222" spans="1:12" hidden="1" x14ac:dyDescent="0.3">
      <c r="A222">
        <v>10680</v>
      </c>
      <c r="B222" s="1">
        <v>44918</v>
      </c>
      <c r="C222" t="s">
        <v>21</v>
      </c>
      <c r="D222">
        <v>12.99</v>
      </c>
      <c r="E222">
        <v>646.65</v>
      </c>
      <c r="F222" t="s">
        <v>18</v>
      </c>
      <c r="G222" t="s">
        <v>37</v>
      </c>
      <c r="H222" t="s">
        <v>35</v>
      </c>
      <c r="I222" t="s">
        <v>20</v>
      </c>
      <c r="J222" t="str">
        <f t="shared" si="9"/>
        <v>Friday</v>
      </c>
      <c r="K222">
        <f t="shared" si="10"/>
        <v>8399.9835000000003</v>
      </c>
      <c r="L222" t="str">
        <f t="shared" si="11"/>
        <v>2022</v>
      </c>
    </row>
    <row r="223" spans="1:12" hidden="1" x14ac:dyDescent="0.3">
      <c r="A223">
        <v>10681</v>
      </c>
      <c r="B223" s="1">
        <v>44918</v>
      </c>
      <c r="C223" t="s">
        <v>25</v>
      </c>
      <c r="D223">
        <v>9.9499999999999993</v>
      </c>
      <c r="E223">
        <v>241.21</v>
      </c>
      <c r="F223" t="s">
        <v>18</v>
      </c>
      <c r="G223" t="s">
        <v>37</v>
      </c>
      <c r="H223" t="s">
        <v>35</v>
      </c>
      <c r="I223" t="s">
        <v>20</v>
      </c>
      <c r="J223" t="str">
        <f t="shared" si="9"/>
        <v>Friday</v>
      </c>
      <c r="K223">
        <f t="shared" si="10"/>
        <v>2400.0394999999999</v>
      </c>
      <c r="L223" t="str">
        <f t="shared" si="11"/>
        <v>2022</v>
      </c>
    </row>
    <row r="224" spans="1:12" hidden="1" x14ac:dyDescent="0.3">
      <c r="A224">
        <v>10682</v>
      </c>
      <c r="B224" s="1">
        <v>44918</v>
      </c>
      <c r="C224" t="s">
        <v>9</v>
      </c>
      <c r="D224">
        <v>3.49</v>
      </c>
      <c r="E224">
        <v>630.37</v>
      </c>
      <c r="F224" t="s">
        <v>18</v>
      </c>
      <c r="G224" t="s">
        <v>37</v>
      </c>
      <c r="H224" t="s">
        <v>35</v>
      </c>
      <c r="I224" t="s">
        <v>20</v>
      </c>
      <c r="J224" t="str">
        <f t="shared" si="9"/>
        <v>Friday</v>
      </c>
      <c r="K224">
        <f t="shared" si="10"/>
        <v>2199.9913000000001</v>
      </c>
      <c r="L224" t="str">
        <f t="shared" si="11"/>
        <v>2022</v>
      </c>
    </row>
    <row r="225" spans="1:12" hidden="1" x14ac:dyDescent="0.3">
      <c r="A225">
        <v>10683</v>
      </c>
      <c r="B225" s="1">
        <v>44918</v>
      </c>
      <c r="C225" t="s">
        <v>14</v>
      </c>
      <c r="D225">
        <v>2.95</v>
      </c>
      <c r="E225">
        <v>677.97</v>
      </c>
      <c r="F225" t="s">
        <v>18</v>
      </c>
      <c r="G225" t="s">
        <v>37</v>
      </c>
      <c r="H225" t="s">
        <v>35</v>
      </c>
      <c r="I225" t="s">
        <v>20</v>
      </c>
      <c r="J225" t="str">
        <f t="shared" si="9"/>
        <v>Friday</v>
      </c>
      <c r="K225">
        <f t="shared" si="10"/>
        <v>2000.0115000000003</v>
      </c>
      <c r="L225" t="str">
        <f t="shared" si="11"/>
        <v>2022</v>
      </c>
    </row>
    <row r="226" spans="1:12" hidden="1" x14ac:dyDescent="0.3">
      <c r="A226">
        <v>10684</v>
      </c>
      <c r="B226" s="1">
        <v>44918</v>
      </c>
      <c r="C226" t="s">
        <v>17</v>
      </c>
      <c r="D226">
        <v>4.99</v>
      </c>
      <c r="E226">
        <v>200.4</v>
      </c>
      <c r="F226" t="s">
        <v>18</v>
      </c>
      <c r="G226" t="s">
        <v>37</v>
      </c>
      <c r="H226" t="s">
        <v>35</v>
      </c>
      <c r="I226" t="s">
        <v>20</v>
      </c>
      <c r="J226" t="str">
        <f t="shared" si="9"/>
        <v>Friday</v>
      </c>
      <c r="K226">
        <f t="shared" si="10"/>
        <v>999.99600000000009</v>
      </c>
      <c r="L226" t="str">
        <f t="shared" si="11"/>
        <v>2022</v>
      </c>
    </row>
    <row r="227" spans="1:12" hidden="1" x14ac:dyDescent="0.3">
      <c r="A227">
        <v>10685</v>
      </c>
      <c r="B227" s="1">
        <v>44919</v>
      </c>
      <c r="C227" t="s">
        <v>21</v>
      </c>
      <c r="D227">
        <v>12.99</v>
      </c>
      <c r="E227">
        <v>677.44</v>
      </c>
      <c r="F227" t="s">
        <v>18</v>
      </c>
      <c r="G227" t="s">
        <v>37</v>
      </c>
      <c r="H227" t="s">
        <v>35</v>
      </c>
      <c r="I227" t="s">
        <v>20</v>
      </c>
      <c r="J227" t="str">
        <f t="shared" si="9"/>
        <v>Saturday</v>
      </c>
      <c r="K227">
        <f t="shared" si="10"/>
        <v>8799.9456000000009</v>
      </c>
      <c r="L227" t="str">
        <f t="shared" si="11"/>
        <v>2022</v>
      </c>
    </row>
    <row r="228" spans="1:12" hidden="1" x14ac:dyDescent="0.3">
      <c r="A228">
        <v>10686</v>
      </c>
      <c r="B228" s="1">
        <v>44919</v>
      </c>
      <c r="C228" t="s">
        <v>25</v>
      </c>
      <c r="D228">
        <v>9.9499999999999993</v>
      </c>
      <c r="E228">
        <v>241.21</v>
      </c>
      <c r="F228" t="s">
        <v>18</v>
      </c>
      <c r="G228" t="s">
        <v>37</v>
      </c>
      <c r="H228" t="s">
        <v>35</v>
      </c>
      <c r="I228" t="s">
        <v>20</v>
      </c>
      <c r="J228" t="str">
        <f t="shared" si="9"/>
        <v>Saturday</v>
      </c>
      <c r="K228">
        <f t="shared" si="10"/>
        <v>2400.0394999999999</v>
      </c>
      <c r="L228" t="str">
        <f t="shared" si="11"/>
        <v>2022</v>
      </c>
    </row>
    <row r="229" spans="1:12" hidden="1" x14ac:dyDescent="0.3">
      <c r="A229">
        <v>10687</v>
      </c>
      <c r="B229" s="1">
        <v>44919</v>
      </c>
      <c r="C229" t="s">
        <v>9</v>
      </c>
      <c r="D229">
        <v>3.49</v>
      </c>
      <c r="E229">
        <v>630.37</v>
      </c>
      <c r="F229" t="s">
        <v>18</v>
      </c>
      <c r="G229" t="s">
        <v>37</v>
      </c>
      <c r="H229" t="s">
        <v>23</v>
      </c>
      <c r="I229" t="s">
        <v>24</v>
      </c>
      <c r="J229" t="str">
        <f t="shared" si="9"/>
        <v>Saturday</v>
      </c>
      <c r="K229">
        <f t="shared" si="10"/>
        <v>2199.9913000000001</v>
      </c>
      <c r="L229" t="str">
        <f t="shared" si="11"/>
        <v>2022</v>
      </c>
    </row>
    <row r="230" spans="1:12" hidden="1" x14ac:dyDescent="0.3">
      <c r="A230">
        <v>10688</v>
      </c>
      <c r="B230" s="1">
        <v>44919</v>
      </c>
      <c r="C230" t="s">
        <v>14</v>
      </c>
      <c r="D230">
        <v>2.95</v>
      </c>
      <c r="E230">
        <v>677.97</v>
      </c>
      <c r="F230" t="s">
        <v>18</v>
      </c>
      <c r="G230" t="s">
        <v>37</v>
      </c>
      <c r="H230" t="s">
        <v>23</v>
      </c>
      <c r="I230" t="s">
        <v>24</v>
      </c>
      <c r="J230" t="str">
        <f t="shared" si="9"/>
        <v>Saturday</v>
      </c>
      <c r="K230">
        <f t="shared" si="10"/>
        <v>2000.0115000000003</v>
      </c>
      <c r="L230" t="str">
        <f t="shared" si="11"/>
        <v>2022</v>
      </c>
    </row>
    <row r="231" spans="1:12" hidden="1" x14ac:dyDescent="0.3">
      <c r="A231">
        <v>10689</v>
      </c>
      <c r="B231" s="1">
        <v>44919</v>
      </c>
      <c r="C231" t="s">
        <v>17</v>
      </c>
      <c r="D231">
        <v>4.99</v>
      </c>
      <c r="E231">
        <v>200.4</v>
      </c>
      <c r="F231" t="s">
        <v>18</v>
      </c>
      <c r="G231" t="s">
        <v>37</v>
      </c>
      <c r="H231" t="s">
        <v>23</v>
      </c>
      <c r="I231" t="s">
        <v>24</v>
      </c>
      <c r="J231" t="str">
        <f t="shared" si="9"/>
        <v>Saturday</v>
      </c>
      <c r="K231">
        <f t="shared" si="10"/>
        <v>999.99600000000009</v>
      </c>
      <c r="L231" t="str">
        <f t="shared" si="11"/>
        <v>2022</v>
      </c>
    </row>
    <row r="232" spans="1:12" hidden="1" x14ac:dyDescent="0.3">
      <c r="A232">
        <v>10690</v>
      </c>
      <c r="B232" s="1">
        <v>44920</v>
      </c>
      <c r="C232" t="s">
        <v>21</v>
      </c>
      <c r="D232">
        <v>12.99</v>
      </c>
      <c r="E232">
        <v>677.44</v>
      </c>
      <c r="F232" t="s">
        <v>18</v>
      </c>
      <c r="G232" t="s">
        <v>37</v>
      </c>
      <c r="H232" t="s">
        <v>23</v>
      </c>
      <c r="I232" t="s">
        <v>24</v>
      </c>
      <c r="J232" t="str">
        <f t="shared" si="9"/>
        <v>Sunday</v>
      </c>
      <c r="K232">
        <f t="shared" si="10"/>
        <v>8799.9456000000009</v>
      </c>
      <c r="L232" t="str">
        <f t="shared" si="11"/>
        <v>2022</v>
      </c>
    </row>
    <row r="233" spans="1:12" hidden="1" x14ac:dyDescent="0.3">
      <c r="A233">
        <v>10691</v>
      </c>
      <c r="B233" s="1">
        <v>44920</v>
      </c>
      <c r="C233" t="s">
        <v>25</v>
      </c>
      <c r="D233">
        <v>9.9499999999999993</v>
      </c>
      <c r="E233">
        <v>261.31</v>
      </c>
      <c r="F233" t="s">
        <v>18</v>
      </c>
      <c r="G233" t="s">
        <v>37</v>
      </c>
      <c r="H233" t="s">
        <v>23</v>
      </c>
      <c r="I233" t="s">
        <v>24</v>
      </c>
      <c r="J233" t="str">
        <f t="shared" si="9"/>
        <v>Sunday</v>
      </c>
      <c r="K233">
        <f t="shared" si="10"/>
        <v>2600.0344999999998</v>
      </c>
      <c r="L233" t="str">
        <f t="shared" si="11"/>
        <v>2022</v>
      </c>
    </row>
    <row r="234" spans="1:12" hidden="1" x14ac:dyDescent="0.3">
      <c r="A234">
        <v>10692</v>
      </c>
      <c r="B234" s="1">
        <v>44920</v>
      </c>
      <c r="C234" t="s">
        <v>9</v>
      </c>
      <c r="D234">
        <v>3.49</v>
      </c>
      <c r="E234">
        <v>630.37</v>
      </c>
      <c r="F234" t="s">
        <v>18</v>
      </c>
      <c r="G234" t="s">
        <v>37</v>
      </c>
      <c r="H234" t="s">
        <v>23</v>
      </c>
      <c r="I234" t="s">
        <v>24</v>
      </c>
      <c r="J234" t="str">
        <f t="shared" si="9"/>
        <v>Sunday</v>
      </c>
      <c r="K234">
        <f t="shared" si="10"/>
        <v>2199.9913000000001</v>
      </c>
      <c r="L234" t="str">
        <f t="shared" si="11"/>
        <v>2022</v>
      </c>
    </row>
    <row r="235" spans="1:12" hidden="1" x14ac:dyDescent="0.3">
      <c r="A235">
        <v>10693</v>
      </c>
      <c r="B235" s="1">
        <v>44920</v>
      </c>
      <c r="C235" t="s">
        <v>14</v>
      </c>
      <c r="D235">
        <v>2.95</v>
      </c>
      <c r="E235">
        <v>677.97</v>
      </c>
      <c r="F235" t="s">
        <v>18</v>
      </c>
      <c r="G235" t="s">
        <v>37</v>
      </c>
      <c r="H235" t="s">
        <v>23</v>
      </c>
      <c r="I235" t="s">
        <v>24</v>
      </c>
      <c r="J235" t="str">
        <f t="shared" si="9"/>
        <v>Sunday</v>
      </c>
      <c r="K235">
        <f t="shared" si="10"/>
        <v>2000.0115000000003</v>
      </c>
      <c r="L235" t="str">
        <f t="shared" si="11"/>
        <v>2022</v>
      </c>
    </row>
    <row r="236" spans="1:12" hidden="1" x14ac:dyDescent="0.3">
      <c r="A236">
        <v>10694</v>
      </c>
      <c r="B236" s="1">
        <v>44920</v>
      </c>
      <c r="C236" t="s">
        <v>17</v>
      </c>
      <c r="D236">
        <v>4.99</v>
      </c>
      <c r="E236">
        <v>200.4</v>
      </c>
      <c r="F236" t="s">
        <v>18</v>
      </c>
      <c r="G236" t="s">
        <v>37</v>
      </c>
      <c r="H236" t="s">
        <v>23</v>
      </c>
      <c r="I236" t="s">
        <v>24</v>
      </c>
      <c r="J236" t="str">
        <f t="shared" si="9"/>
        <v>Sunday</v>
      </c>
      <c r="K236">
        <f t="shared" si="10"/>
        <v>999.99600000000009</v>
      </c>
      <c r="L236" t="str">
        <f t="shared" si="11"/>
        <v>2022</v>
      </c>
    </row>
    <row r="237" spans="1:12" hidden="1" x14ac:dyDescent="0.3">
      <c r="A237">
        <v>10695</v>
      </c>
      <c r="B237" s="1">
        <v>44921</v>
      </c>
      <c r="C237" t="s">
        <v>21</v>
      </c>
      <c r="D237">
        <v>12.99</v>
      </c>
      <c r="E237">
        <v>692.84</v>
      </c>
      <c r="F237" t="s">
        <v>18</v>
      </c>
      <c r="G237" t="s">
        <v>37</v>
      </c>
      <c r="H237" t="s">
        <v>23</v>
      </c>
      <c r="I237" t="s">
        <v>24</v>
      </c>
      <c r="J237" t="str">
        <f t="shared" si="9"/>
        <v>Monday</v>
      </c>
      <c r="K237">
        <f t="shared" si="10"/>
        <v>8999.9916000000012</v>
      </c>
      <c r="L237" t="str">
        <f t="shared" si="11"/>
        <v>2022</v>
      </c>
    </row>
    <row r="238" spans="1:12" hidden="1" x14ac:dyDescent="0.3">
      <c r="A238">
        <v>10696</v>
      </c>
      <c r="B238" s="1">
        <v>44921</v>
      </c>
      <c r="C238" t="s">
        <v>25</v>
      </c>
      <c r="D238">
        <v>9.9499999999999993</v>
      </c>
      <c r="E238">
        <v>281.41000000000003</v>
      </c>
      <c r="F238" t="s">
        <v>18</v>
      </c>
      <c r="G238" t="s">
        <v>37</v>
      </c>
      <c r="H238" t="s">
        <v>23</v>
      </c>
      <c r="I238" t="s">
        <v>24</v>
      </c>
      <c r="J238" t="str">
        <f t="shared" si="9"/>
        <v>Monday</v>
      </c>
      <c r="K238">
        <f t="shared" si="10"/>
        <v>2800.0295000000001</v>
      </c>
      <c r="L238" t="str">
        <f t="shared" si="11"/>
        <v>2022</v>
      </c>
    </row>
    <row r="239" spans="1:12" hidden="1" x14ac:dyDescent="0.3">
      <c r="A239">
        <v>10697</v>
      </c>
      <c r="B239" s="1">
        <v>44921</v>
      </c>
      <c r="C239" t="s">
        <v>9</v>
      </c>
      <c r="D239">
        <v>3.49</v>
      </c>
      <c r="E239">
        <v>630.37</v>
      </c>
      <c r="F239" t="s">
        <v>18</v>
      </c>
      <c r="G239" t="s">
        <v>37</v>
      </c>
      <c r="H239" t="s">
        <v>23</v>
      </c>
      <c r="I239" t="s">
        <v>24</v>
      </c>
      <c r="J239" t="str">
        <f t="shared" si="9"/>
        <v>Monday</v>
      </c>
      <c r="K239">
        <f t="shared" si="10"/>
        <v>2199.9913000000001</v>
      </c>
      <c r="L239" t="str">
        <f t="shared" si="11"/>
        <v>2022</v>
      </c>
    </row>
    <row r="240" spans="1:12" hidden="1" x14ac:dyDescent="0.3">
      <c r="A240">
        <v>10698</v>
      </c>
      <c r="B240" s="1">
        <v>44921</v>
      </c>
      <c r="C240" t="s">
        <v>14</v>
      </c>
      <c r="D240">
        <v>2.95</v>
      </c>
      <c r="E240">
        <v>677.97</v>
      </c>
      <c r="F240" t="s">
        <v>18</v>
      </c>
      <c r="G240" t="s">
        <v>37</v>
      </c>
      <c r="H240" t="s">
        <v>23</v>
      </c>
      <c r="I240" t="s">
        <v>24</v>
      </c>
      <c r="J240" t="str">
        <f t="shared" si="9"/>
        <v>Monday</v>
      </c>
      <c r="K240">
        <f t="shared" si="10"/>
        <v>2000.0115000000003</v>
      </c>
      <c r="L240" t="str">
        <f t="shared" si="11"/>
        <v>2022</v>
      </c>
    </row>
    <row r="241" spans="1:12" hidden="1" x14ac:dyDescent="0.3">
      <c r="A241">
        <v>10699</v>
      </c>
      <c r="B241" s="1">
        <v>44921</v>
      </c>
      <c r="C241" t="s">
        <v>17</v>
      </c>
      <c r="D241">
        <v>4.99</v>
      </c>
      <c r="E241">
        <v>200.4</v>
      </c>
      <c r="F241" t="s">
        <v>18</v>
      </c>
      <c r="G241" t="s">
        <v>37</v>
      </c>
      <c r="H241" t="s">
        <v>23</v>
      </c>
      <c r="I241" t="s">
        <v>24</v>
      </c>
      <c r="J241" t="str">
        <f t="shared" si="9"/>
        <v>Monday</v>
      </c>
      <c r="K241">
        <f t="shared" si="10"/>
        <v>999.99600000000009</v>
      </c>
      <c r="L241" t="str">
        <f t="shared" si="11"/>
        <v>2022</v>
      </c>
    </row>
    <row r="242" spans="1:12" hidden="1" x14ac:dyDescent="0.3">
      <c r="A242">
        <v>10700</v>
      </c>
      <c r="B242" s="1">
        <v>44922</v>
      </c>
      <c r="C242" t="s">
        <v>21</v>
      </c>
      <c r="D242">
        <v>12.99</v>
      </c>
      <c r="E242">
        <v>692.84</v>
      </c>
      <c r="F242" t="s">
        <v>18</v>
      </c>
      <c r="G242" t="s">
        <v>37</v>
      </c>
      <c r="H242" t="s">
        <v>23</v>
      </c>
      <c r="I242" t="s">
        <v>24</v>
      </c>
      <c r="J242" t="str">
        <f t="shared" si="9"/>
        <v>Tuesday</v>
      </c>
      <c r="K242">
        <f t="shared" si="10"/>
        <v>8999.9916000000012</v>
      </c>
      <c r="L242" t="str">
        <f t="shared" si="11"/>
        <v>2022</v>
      </c>
    </row>
    <row r="243" spans="1:12" hidden="1" x14ac:dyDescent="0.3">
      <c r="A243">
        <v>10701</v>
      </c>
      <c r="B243" s="1">
        <v>44922</v>
      </c>
      <c r="C243" t="s">
        <v>25</v>
      </c>
      <c r="D243">
        <v>9.9499999999999993</v>
      </c>
      <c r="E243">
        <v>281.41000000000003</v>
      </c>
      <c r="F243" t="s">
        <v>18</v>
      </c>
      <c r="G243" t="s">
        <v>37</v>
      </c>
      <c r="H243" t="s">
        <v>23</v>
      </c>
      <c r="I243" t="s">
        <v>24</v>
      </c>
      <c r="J243" t="str">
        <f t="shared" si="9"/>
        <v>Tuesday</v>
      </c>
      <c r="K243">
        <f t="shared" si="10"/>
        <v>2800.0295000000001</v>
      </c>
      <c r="L243" t="str">
        <f t="shared" si="11"/>
        <v>2022</v>
      </c>
    </row>
    <row r="244" spans="1:12" hidden="1" x14ac:dyDescent="0.3">
      <c r="A244">
        <v>10702</v>
      </c>
      <c r="B244" s="1">
        <v>44922</v>
      </c>
      <c r="C244" t="s">
        <v>9</v>
      </c>
      <c r="D244">
        <v>3.49</v>
      </c>
      <c r="E244">
        <v>630.37</v>
      </c>
      <c r="F244" t="s">
        <v>18</v>
      </c>
      <c r="G244" t="s">
        <v>37</v>
      </c>
      <c r="H244" t="s">
        <v>23</v>
      </c>
      <c r="I244" t="s">
        <v>24</v>
      </c>
      <c r="J244" t="str">
        <f t="shared" si="9"/>
        <v>Tuesday</v>
      </c>
      <c r="K244">
        <f t="shared" si="10"/>
        <v>2199.9913000000001</v>
      </c>
      <c r="L244" t="str">
        <f t="shared" si="11"/>
        <v>2022</v>
      </c>
    </row>
    <row r="245" spans="1:12" hidden="1" x14ac:dyDescent="0.3">
      <c r="A245">
        <v>10703</v>
      </c>
      <c r="B245" s="1">
        <v>44922</v>
      </c>
      <c r="C245" t="s">
        <v>14</v>
      </c>
      <c r="D245">
        <v>2.95</v>
      </c>
      <c r="E245">
        <v>677.97</v>
      </c>
      <c r="F245" t="s">
        <v>18</v>
      </c>
      <c r="G245" t="s">
        <v>11</v>
      </c>
      <c r="H245" t="s">
        <v>23</v>
      </c>
      <c r="I245" t="s">
        <v>24</v>
      </c>
      <c r="J245" t="str">
        <f t="shared" si="9"/>
        <v>Tuesday</v>
      </c>
      <c r="K245">
        <f t="shared" si="10"/>
        <v>2000.0115000000003</v>
      </c>
      <c r="L245" t="str">
        <f t="shared" si="11"/>
        <v>2022</v>
      </c>
    </row>
    <row r="246" spans="1:12" hidden="1" x14ac:dyDescent="0.3">
      <c r="A246">
        <v>10704</v>
      </c>
      <c r="B246" s="1">
        <v>44922</v>
      </c>
      <c r="C246" t="s">
        <v>17</v>
      </c>
      <c r="D246">
        <v>4.99</v>
      </c>
      <c r="E246">
        <v>200.4</v>
      </c>
      <c r="F246" t="s">
        <v>36</v>
      </c>
      <c r="G246" t="s">
        <v>11</v>
      </c>
      <c r="H246" t="s">
        <v>23</v>
      </c>
      <c r="I246" t="s">
        <v>24</v>
      </c>
      <c r="J246" t="str">
        <f t="shared" si="9"/>
        <v>Tuesday</v>
      </c>
      <c r="K246">
        <f t="shared" si="10"/>
        <v>999.99600000000009</v>
      </c>
      <c r="L246" t="str">
        <f t="shared" si="11"/>
        <v>2022</v>
      </c>
    </row>
    <row r="247" spans="1:12" hidden="1" x14ac:dyDescent="0.3">
      <c r="A247">
        <v>10705</v>
      </c>
      <c r="B247" s="1">
        <v>44923</v>
      </c>
      <c r="C247" t="s">
        <v>21</v>
      </c>
      <c r="D247">
        <v>12.99</v>
      </c>
      <c r="E247">
        <v>723.63</v>
      </c>
      <c r="F247" t="s">
        <v>36</v>
      </c>
      <c r="G247" t="s">
        <v>11</v>
      </c>
      <c r="H247" t="s">
        <v>23</v>
      </c>
      <c r="I247" t="s">
        <v>24</v>
      </c>
      <c r="J247" t="str">
        <f t="shared" si="9"/>
        <v>Wednesday</v>
      </c>
      <c r="K247">
        <f t="shared" si="10"/>
        <v>9399.9537</v>
      </c>
      <c r="L247" t="str">
        <f t="shared" si="11"/>
        <v>2022</v>
      </c>
    </row>
    <row r="248" spans="1:12" hidden="1" x14ac:dyDescent="0.3">
      <c r="A248">
        <v>10706</v>
      </c>
      <c r="B248" s="1">
        <v>44923</v>
      </c>
      <c r="C248" t="s">
        <v>25</v>
      </c>
      <c r="D248">
        <v>9.9499999999999993</v>
      </c>
      <c r="E248">
        <v>301.51</v>
      </c>
      <c r="F248" t="s">
        <v>36</v>
      </c>
      <c r="G248" t="s">
        <v>11</v>
      </c>
      <c r="H248" t="s">
        <v>23</v>
      </c>
      <c r="I248" t="s">
        <v>24</v>
      </c>
      <c r="J248" t="str">
        <f t="shared" si="9"/>
        <v>Wednesday</v>
      </c>
      <c r="K248">
        <f t="shared" si="10"/>
        <v>3000.0244999999995</v>
      </c>
      <c r="L248" t="str">
        <f t="shared" si="11"/>
        <v>2022</v>
      </c>
    </row>
    <row r="249" spans="1:12" hidden="1" x14ac:dyDescent="0.3">
      <c r="A249">
        <v>10707</v>
      </c>
      <c r="B249" s="1">
        <v>44923</v>
      </c>
      <c r="C249" t="s">
        <v>9</v>
      </c>
      <c r="D249">
        <v>3.49</v>
      </c>
      <c r="E249">
        <v>630.37</v>
      </c>
      <c r="F249" t="s">
        <v>36</v>
      </c>
      <c r="G249" t="s">
        <v>11</v>
      </c>
      <c r="H249" t="s">
        <v>23</v>
      </c>
      <c r="I249" t="s">
        <v>24</v>
      </c>
      <c r="J249" t="str">
        <f t="shared" si="9"/>
        <v>Wednesday</v>
      </c>
      <c r="K249">
        <f t="shared" si="10"/>
        <v>2199.9913000000001</v>
      </c>
      <c r="L249" t="str">
        <f t="shared" si="11"/>
        <v>2022</v>
      </c>
    </row>
    <row r="250" spans="1:12" hidden="1" x14ac:dyDescent="0.3">
      <c r="A250">
        <v>10708</v>
      </c>
      <c r="B250" s="1">
        <v>44923</v>
      </c>
      <c r="C250" t="s">
        <v>14</v>
      </c>
      <c r="D250">
        <v>2.95</v>
      </c>
      <c r="E250">
        <v>677.97</v>
      </c>
      <c r="F250" t="s">
        <v>36</v>
      </c>
      <c r="G250" t="s">
        <v>11</v>
      </c>
      <c r="H250" t="s">
        <v>23</v>
      </c>
      <c r="I250" t="s">
        <v>24</v>
      </c>
      <c r="J250" t="str">
        <f t="shared" si="9"/>
        <v>Wednesday</v>
      </c>
      <c r="K250">
        <f t="shared" si="10"/>
        <v>2000.0115000000003</v>
      </c>
      <c r="L250" t="str">
        <f t="shared" si="11"/>
        <v>2022</v>
      </c>
    </row>
    <row r="251" spans="1:12" hidden="1" x14ac:dyDescent="0.3">
      <c r="A251">
        <v>10709</v>
      </c>
      <c r="B251" s="1">
        <v>44923</v>
      </c>
      <c r="C251" t="s">
        <v>17</v>
      </c>
      <c r="D251">
        <v>4.99</v>
      </c>
      <c r="E251">
        <v>200.4</v>
      </c>
      <c r="F251" t="s">
        <v>36</v>
      </c>
      <c r="G251" t="s">
        <v>11</v>
      </c>
      <c r="H251" t="s">
        <v>23</v>
      </c>
      <c r="I251" t="s">
        <v>24</v>
      </c>
      <c r="J251" t="str">
        <f t="shared" si="9"/>
        <v>Wednesday</v>
      </c>
      <c r="K251">
        <f t="shared" si="10"/>
        <v>999.99600000000009</v>
      </c>
      <c r="L251" t="str">
        <f t="shared" si="11"/>
        <v>2022</v>
      </c>
    </row>
    <row r="252" spans="1:12" hidden="1" x14ac:dyDescent="0.3">
      <c r="A252">
        <v>10710</v>
      </c>
      <c r="B252" s="1">
        <v>44924</v>
      </c>
      <c r="C252" t="s">
        <v>21</v>
      </c>
      <c r="D252">
        <v>12.99</v>
      </c>
      <c r="E252">
        <v>754.43</v>
      </c>
      <c r="F252" t="s">
        <v>36</v>
      </c>
      <c r="G252" t="s">
        <v>11</v>
      </c>
      <c r="H252" t="s">
        <v>23</v>
      </c>
      <c r="I252" t="s">
        <v>24</v>
      </c>
      <c r="J252" t="str">
        <f t="shared" si="9"/>
        <v>Thursday</v>
      </c>
      <c r="K252">
        <f t="shared" si="10"/>
        <v>9800.0456999999988</v>
      </c>
      <c r="L252" t="str">
        <f t="shared" si="11"/>
        <v>2022</v>
      </c>
    </row>
    <row r="253" spans="1:12" hidden="1" x14ac:dyDescent="0.3">
      <c r="A253">
        <v>10711</v>
      </c>
      <c r="B253" s="1">
        <v>44924</v>
      </c>
      <c r="C253" t="s">
        <v>25</v>
      </c>
      <c r="D253">
        <v>9.9499999999999993</v>
      </c>
      <c r="E253">
        <v>281.41000000000003</v>
      </c>
      <c r="F253" t="s">
        <v>36</v>
      </c>
      <c r="G253" t="s">
        <v>11</v>
      </c>
      <c r="H253" t="s">
        <v>23</v>
      </c>
      <c r="I253" t="s">
        <v>24</v>
      </c>
      <c r="J253" t="str">
        <f t="shared" si="9"/>
        <v>Thursday</v>
      </c>
      <c r="K253">
        <f t="shared" si="10"/>
        <v>2800.0295000000001</v>
      </c>
      <c r="L253" t="str">
        <f t="shared" si="11"/>
        <v>2022</v>
      </c>
    </row>
    <row r="254" spans="1:12" hidden="1" x14ac:dyDescent="0.3">
      <c r="A254">
        <v>10712</v>
      </c>
      <c r="B254" s="1">
        <v>44924</v>
      </c>
      <c r="C254" t="s">
        <v>9</v>
      </c>
      <c r="D254">
        <v>3.49</v>
      </c>
      <c r="E254">
        <v>630.37</v>
      </c>
      <c r="F254" t="s">
        <v>36</v>
      </c>
      <c r="G254" t="s">
        <v>11</v>
      </c>
      <c r="H254" t="s">
        <v>23</v>
      </c>
      <c r="I254" t="s">
        <v>24</v>
      </c>
      <c r="J254" t="str">
        <f t="shared" si="9"/>
        <v>Thursday</v>
      </c>
      <c r="K254">
        <f t="shared" si="10"/>
        <v>2199.9913000000001</v>
      </c>
      <c r="L254" t="str">
        <f t="shared" si="11"/>
        <v>2022</v>
      </c>
    </row>
    <row r="255" spans="1:12" hidden="1" x14ac:dyDescent="0.3">
      <c r="A255">
        <v>10713</v>
      </c>
      <c r="B255" s="1">
        <v>44924</v>
      </c>
      <c r="C255" t="s">
        <v>14</v>
      </c>
      <c r="D255">
        <v>2.95</v>
      </c>
      <c r="E255">
        <v>677.97</v>
      </c>
      <c r="F255" t="s">
        <v>36</v>
      </c>
      <c r="G255" t="s">
        <v>11</v>
      </c>
      <c r="H255" t="s">
        <v>23</v>
      </c>
      <c r="I255" t="s">
        <v>24</v>
      </c>
      <c r="J255" t="str">
        <f t="shared" si="9"/>
        <v>Thursday</v>
      </c>
      <c r="K255">
        <f t="shared" si="10"/>
        <v>2000.0115000000003</v>
      </c>
      <c r="L255" t="str">
        <f t="shared" si="11"/>
        <v>2022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5D03D-572A-492F-86DC-53A2F4D369A0}">
  <dimension ref="A1:V32"/>
  <sheetViews>
    <sheetView showGridLines="0" tabSelected="1" zoomScale="71" workbookViewId="0">
      <selection activeCell="X17" sqref="X17"/>
    </sheetView>
  </sheetViews>
  <sheetFormatPr defaultRowHeight="14.4" x14ac:dyDescent="0.3"/>
  <cols>
    <col min="1" max="1" width="16.109375" style="4" customWidth="1"/>
    <col min="2" max="2" width="11.88671875" style="4" customWidth="1"/>
    <col min="3" max="16384" width="8.88671875" style="4"/>
  </cols>
  <sheetData>
    <row r="1" spans="1:22" x14ac:dyDescent="0.3">
      <c r="A1" s="7"/>
      <c r="B1" s="8"/>
      <c r="C1" s="8"/>
      <c r="D1" s="8"/>
      <c r="E1" s="8"/>
      <c r="F1" s="8"/>
      <c r="G1" s="8"/>
      <c r="H1" s="8"/>
      <c r="I1" s="8"/>
      <c r="J1" s="8"/>
      <c r="K1" s="8"/>
      <c r="L1" s="8"/>
      <c r="M1" s="8"/>
      <c r="N1" s="8"/>
      <c r="O1" s="8"/>
      <c r="P1" s="8"/>
      <c r="Q1" s="8"/>
      <c r="R1" s="8"/>
      <c r="S1" s="8"/>
      <c r="T1" s="8"/>
      <c r="U1" s="8"/>
      <c r="V1" s="9"/>
    </row>
    <row r="2" spans="1:22" x14ac:dyDescent="0.3">
      <c r="A2" s="10"/>
      <c r="B2" s="11"/>
      <c r="C2" s="11"/>
      <c r="D2" s="11"/>
      <c r="E2" s="11"/>
      <c r="F2" s="11"/>
      <c r="G2" s="11"/>
      <c r="H2" s="11"/>
      <c r="I2" s="11"/>
      <c r="J2" s="11"/>
      <c r="K2" s="11"/>
      <c r="L2" s="11"/>
      <c r="M2" s="11"/>
      <c r="N2" s="11"/>
      <c r="O2" s="11"/>
      <c r="P2" s="11"/>
      <c r="Q2" s="11"/>
      <c r="R2" s="11"/>
      <c r="S2" s="11"/>
      <c r="T2" s="11"/>
      <c r="U2" s="11"/>
      <c r="V2" s="12"/>
    </row>
    <row r="3" spans="1:22" x14ac:dyDescent="0.3">
      <c r="A3" s="10"/>
      <c r="B3" s="11"/>
      <c r="C3" s="11"/>
      <c r="D3" s="11"/>
      <c r="E3" s="11"/>
      <c r="F3" s="11"/>
      <c r="G3" s="11"/>
      <c r="H3" s="11"/>
      <c r="I3" s="11"/>
      <c r="J3" s="11"/>
      <c r="K3" s="11"/>
      <c r="L3" s="11"/>
      <c r="M3" s="11"/>
      <c r="N3" s="11"/>
      <c r="O3" s="11"/>
      <c r="P3" s="11"/>
      <c r="Q3" s="11"/>
      <c r="R3" s="11"/>
      <c r="S3" s="11"/>
      <c r="T3" s="11"/>
      <c r="U3" s="11"/>
      <c r="V3" s="12"/>
    </row>
    <row r="4" spans="1:22" x14ac:dyDescent="0.3">
      <c r="A4" s="10"/>
      <c r="B4" s="11"/>
      <c r="C4" s="11"/>
      <c r="D4" s="11"/>
      <c r="E4" s="11"/>
      <c r="F4" s="11"/>
      <c r="G4" s="11"/>
      <c r="H4" s="11"/>
      <c r="I4" s="11"/>
      <c r="J4" s="11"/>
      <c r="K4" s="11"/>
      <c r="L4" s="11"/>
      <c r="M4" s="11"/>
      <c r="N4" s="11"/>
      <c r="O4" s="11"/>
      <c r="P4" s="11"/>
      <c r="Q4" s="11"/>
      <c r="R4" s="11"/>
      <c r="S4" s="11"/>
      <c r="T4" s="11"/>
      <c r="U4" s="11"/>
      <c r="V4" s="12"/>
    </row>
    <row r="5" spans="1:22" x14ac:dyDescent="0.3">
      <c r="A5" s="10"/>
      <c r="B5" s="11"/>
      <c r="C5" s="11"/>
      <c r="D5" s="11"/>
      <c r="E5" s="11"/>
      <c r="F5" s="11"/>
      <c r="G5" s="11"/>
      <c r="H5" s="11"/>
      <c r="I5" s="11"/>
      <c r="J5" s="11"/>
      <c r="K5" s="11"/>
      <c r="L5" s="11"/>
      <c r="M5" s="11"/>
      <c r="N5" s="11"/>
      <c r="O5" s="11"/>
      <c r="P5" s="11"/>
      <c r="Q5" s="11"/>
      <c r="R5" s="11"/>
      <c r="S5" s="11"/>
      <c r="T5" s="11"/>
      <c r="U5" s="11"/>
      <c r="V5" s="12"/>
    </row>
    <row r="6" spans="1:22" x14ac:dyDescent="0.3">
      <c r="A6" s="10"/>
      <c r="B6" s="11"/>
      <c r="C6" s="11"/>
      <c r="D6" s="11"/>
      <c r="E6" s="11"/>
      <c r="F6" s="11"/>
      <c r="G6" s="11"/>
      <c r="H6" s="11"/>
      <c r="I6" s="11"/>
      <c r="J6" s="11"/>
      <c r="K6" s="11"/>
      <c r="L6" s="11"/>
      <c r="M6" s="11"/>
      <c r="N6" s="11"/>
      <c r="O6" s="11"/>
      <c r="P6" s="11"/>
      <c r="Q6" s="11"/>
      <c r="R6" s="11"/>
      <c r="S6" s="11"/>
      <c r="T6" s="11"/>
      <c r="U6" s="11"/>
      <c r="V6" s="12"/>
    </row>
    <row r="7" spans="1:22" x14ac:dyDescent="0.3">
      <c r="A7" s="10"/>
      <c r="B7" s="11"/>
      <c r="C7" s="11"/>
      <c r="D7" s="11"/>
      <c r="E7" s="11"/>
      <c r="F7" s="11"/>
      <c r="G7" s="11"/>
      <c r="H7" s="11"/>
      <c r="I7" s="11"/>
      <c r="J7" s="11"/>
      <c r="K7" s="11"/>
      <c r="L7" s="11"/>
      <c r="M7" s="11"/>
      <c r="N7" s="11"/>
      <c r="O7" s="11"/>
      <c r="P7" s="11"/>
      <c r="Q7" s="11"/>
      <c r="R7" s="11"/>
      <c r="S7" s="11"/>
      <c r="T7" s="11"/>
      <c r="U7" s="11"/>
      <c r="V7" s="12"/>
    </row>
    <row r="8" spans="1:22" x14ac:dyDescent="0.3">
      <c r="A8" s="10"/>
      <c r="B8" s="11"/>
      <c r="C8" s="11"/>
      <c r="D8" s="11"/>
      <c r="E8" s="11"/>
      <c r="F8" s="11"/>
      <c r="G8" s="11"/>
      <c r="H8" s="11"/>
      <c r="I8" s="11"/>
      <c r="J8" s="11"/>
      <c r="K8" s="11"/>
      <c r="L8" s="11"/>
      <c r="M8" s="11"/>
      <c r="N8" s="11"/>
      <c r="O8" s="11"/>
      <c r="P8" s="11"/>
      <c r="Q8" s="11"/>
      <c r="R8" s="11"/>
      <c r="S8" s="11"/>
      <c r="T8" s="11"/>
      <c r="U8" s="11"/>
      <c r="V8" s="12"/>
    </row>
    <row r="9" spans="1:22" x14ac:dyDescent="0.3">
      <c r="A9" s="10"/>
      <c r="B9" s="11"/>
      <c r="C9" s="11"/>
      <c r="D9" s="11"/>
      <c r="E9" s="11"/>
      <c r="F9" s="11"/>
      <c r="G9" s="11"/>
      <c r="H9" s="11"/>
      <c r="I9" s="11"/>
      <c r="J9" s="11"/>
      <c r="K9" s="11"/>
      <c r="L9" s="11"/>
      <c r="M9" s="11"/>
      <c r="N9" s="11"/>
      <c r="O9" s="11"/>
      <c r="P9" s="11"/>
      <c r="Q9" s="11"/>
      <c r="R9" s="11"/>
      <c r="S9" s="11"/>
      <c r="T9" s="11"/>
      <c r="U9" s="11"/>
      <c r="V9" s="12"/>
    </row>
    <row r="10" spans="1:22" x14ac:dyDescent="0.3">
      <c r="A10" s="10"/>
      <c r="B10" s="11"/>
      <c r="C10" s="11"/>
      <c r="D10" s="11"/>
      <c r="E10" s="11"/>
      <c r="F10" s="11"/>
      <c r="G10" s="11"/>
      <c r="H10" s="11"/>
      <c r="I10" s="11"/>
      <c r="J10" s="11"/>
      <c r="K10" s="11"/>
      <c r="L10" s="11"/>
      <c r="M10" s="11"/>
      <c r="N10" s="11"/>
      <c r="O10" s="11"/>
      <c r="P10" s="11"/>
      <c r="Q10" s="11"/>
      <c r="R10" s="11"/>
      <c r="S10" s="11"/>
      <c r="T10" s="11"/>
      <c r="U10" s="11"/>
      <c r="V10" s="12"/>
    </row>
    <row r="11" spans="1:22" x14ac:dyDescent="0.3">
      <c r="A11" s="10"/>
      <c r="B11" s="11"/>
      <c r="C11" s="11"/>
      <c r="D11" s="11"/>
      <c r="E11" s="11"/>
      <c r="F11" s="11"/>
      <c r="G11" s="11"/>
      <c r="H11" s="11"/>
      <c r="I11" s="11"/>
      <c r="J11" s="11"/>
      <c r="K11" s="11"/>
      <c r="L11" s="11"/>
      <c r="M11" s="11"/>
      <c r="N11" s="11"/>
      <c r="O11" s="11"/>
      <c r="P11" s="11"/>
      <c r="Q11" s="11"/>
      <c r="R11" s="11"/>
      <c r="S11" s="11"/>
      <c r="T11" s="11"/>
      <c r="U11" s="11"/>
      <c r="V11" s="12"/>
    </row>
    <row r="12" spans="1:22" x14ac:dyDescent="0.3">
      <c r="A12" s="10"/>
      <c r="B12" s="11"/>
      <c r="C12" s="11"/>
      <c r="D12" s="11"/>
      <c r="E12" s="11"/>
      <c r="F12" s="11"/>
      <c r="G12" s="11"/>
      <c r="H12" s="11"/>
      <c r="I12" s="11"/>
      <c r="J12" s="11"/>
      <c r="K12" s="11"/>
      <c r="L12" s="11"/>
      <c r="M12" s="11"/>
      <c r="N12" s="11"/>
      <c r="O12" s="11"/>
      <c r="P12" s="11"/>
      <c r="Q12" s="11"/>
      <c r="R12" s="11"/>
      <c r="S12" s="11"/>
      <c r="T12" s="11"/>
      <c r="U12" s="11"/>
      <c r="V12" s="12"/>
    </row>
    <row r="13" spans="1:22" x14ac:dyDescent="0.3">
      <c r="A13" s="10"/>
      <c r="B13" s="11"/>
      <c r="C13" s="11"/>
      <c r="D13" s="11"/>
      <c r="E13" s="11"/>
      <c r="F13" s="11"/>
      <c r="G13" s="11"/>
      <c r="H13" s="11"/>
      <c r="I13" s="11"/>
      <c r="J13" s="11"/>
      <c r="K13" s="11"/>
      <c r="L13" s="11"/>
      <c r="M13" s="11"/>
      <c r="N13" s="11"/>
      <c r="O13" s="11"/>
      <c r="P13" s="11"/>
      <c r="Q13" s="11"/>
      <c r="R13" s="11"/>
      <c r="S13" s="11"/>
      <c r="T13" s="11"/>
      <c r="U13" s="11"/>
      <c r="V13" s="12"/>
    </row>
    <row r="14" spans="1:22" x14ac:dyDescent="0.3">
      <c r="A14" s="10"/>
      <c r="B14" s="11"/>
      <c r="C14" s="11"/>
      <c r="D14" s="11"/>
      <c r="E14" s="11"/>
      <c r="F14" s="11"/>
      <c r="G14" s="11"/>
      <c r="H14" s="11"/>
      <c r="I14" s="11"/>
      <c r="J14" s="11"/>
      <c r="K14" s="11"/>
      <c r="L14" s="11"/>
      <c r="M14" s="11"/>
      <c r="N14" s="11"/>
      <c r="O14" s="11"/>
      <c r="P14" s="11"/>
      <c r="Q14" s="11"/>
      <c r="R14" s="11"/>
      <c r="S14" s="11"/>
      <c r="T14" s="11"/>
      <c r="U14" s="11"/>
      <c r="V14" s="12"/>
    </row>
    <row r="15" spans="1:22" x14ac:dyDescent="0.3">
      <c r="A15" s="10"/>
      <c r="B15" s="11"/>
      <c r="C15" s="11"/>
      <c r="D15" s="11"/>
      <c r="E15" s="11"/>
      <c r="F15" s="11"/>
      <c r="G15" s="11"/>
      <c r="H15" s="11"/>
      <c r="I15" s="11"/>
      <c r="J15" s="11"/>
      <c r="K15" s="11"/>
      <c r="L15" s="11"/>
      <c r="M15" s="11"/>
      <c r="N15" s="11"/>
      <c r="O15" s="11"/>
      <c r="P15" s="11"/>
      <c r="Q15" s="11"/>
      <c r="R15" s="11"/>
      <c r="S15" s="11"/>
      <c r="T15" s="11"/>
      <c r="U15" s="11"/>
      <c r="V15" s="12"/>
    </row>
    <row r="16" spans="1:22" x14ac:dyDescent="0.3">
      <c r="A16" s="10"/>
      <c r="B16" s="11"/>
      <c r="C16" s="11"/>
      <c r="D16" s="11"/>
      <c r="E16" s="11"/>
      <c r="F16" s="11"/>
      <c r="G16" s="11"/>
      <c r="H16" s="11"/>
      <c r="I16" s="11"/>
      <c r="J16" s="11"/>
      <c r="K16" s="11"/>
      <c r="L16" s="11"/>
      <c r="M16" s="11"/>
      <c r="N16" s="11"/>
      <c r="O16" s="11"/>
      <c r="P16" s="11"/>
      <c r="Q16" s="11"/>
      <c r="R16" s="11"/>
      <c r="S16" s="11"/>
      <c r="T16" s="11"/>
      <c r="U16" s="11"/>
      <c r="V16" s="12"/>
    </row>
    <row r="17" spans="1:22" x14ac:dyDescent="0.3">
      <c r="A17" s="10"/>
      <c r="B17" s="11"/>
      <c r="C17" s="11"/>
      <c r="D17" s="11"/>
      <c r="E17" s="11"/>
      <c r="F17" s="11"/>
      <c r="G17" s="11"/>
      <c r="H17" s="11"/>
      <c r="I17" s="11"/>
      <c r="J17" s="11"/>
      <c r="K17" s="11"/>
      <c r="L17" s="11"/>
      <c r="M17" s="11"/>
      <c r="N17" s="11"/>
      <c r="O17" s="11"/>
      <c r="P17" s="11"/>
      <c r="Q17" s="11"/>
      <c r="R17" s="11"/>
      <c r="S17" s="11"/>
      <c r="T17" s="11"/>
      <c r="U17" s="11"/>
      <c r="V17" s="12"/>
    </row>
    <row r="18" spans="1:22" x14ac:dyDescent="0.3">
      <c r="A18" s="10"/>
      <c r="B18" s="11"/>
      <c r="C18" s="11"/>
      <c r="D18" s="11"/>
      <c r="E18" s="11"/>
      <c r="F18" s="11"/>
      <c r="G18" s="11"/>
      <c r="H18" s="11"/>
      <c r="I18" s="11"/>
      <c r="J18" s="11"/>
      <c r="K18" s="11"/>
      <c r="L18" s="11"/>
      <c r="M18" s="11"/>
      <c r="N18" s="11"/>
      <c r="O18" s="11"/>
      <c r="P18" s="11"/>
      <c r="Q18" s="11"/>
      <c r="R18" s="11"/>
      <c r="S18" s="11"/>
      <c r="T18" s="11"/>
      <c r="U18" s="11"/>
      <c r="V18" s="12"/>
    </row>
    <row r="19" spans="1:22" x14ac:dyDescent="0.3">
      <c r="A19" s="10"/>
      <c r="B19" s="11"/>
      <c r="C19" s="11"/>
      <c r="D19" s="11"/>
      <c r="E19" s="11"/>
      <c r="F19" s="11"/>
      <c r="G19" s="11"/>
      <c r="H19" s="11"/>
      <c r="I19" s="11"/>
      <c r="J19" s="11"/>
      <c r="K19" s="11"/>
      <c r="L19" s="11"/>
      <c r="M19" s="11"/>
      <c r="N19" s="11"/>
      <c r="O19" s="11"/>
      <c r="P19" s="11"/>
      <c r="Q19" s="11"/>
      <c r="R19" s="11"/>
      <c r="S19" s="11"/>
      <c r="T19" s="11"/>
      <c r="U19" s="11"/>
      <c r="V19" s="12"/>
    </row>
    <row r="20" spans="1:22" x14ac:dyDescent="0.3">
      <c r="A20" s="10"/>
      <c r="B20" s="11"/>
      <c r="C20" s="11"/>
      <c r="D20" s="11"/>
      <c r="E20" s="11"/>
      <c r="F20" s="11"/>
      <c r="G20" s="11"/>
      <c r="H20" s="11"/>
      <c r="I20" s="11"/>
      <c r="J20" s="11"/>
      <c r="K20" s="11"/>
      <c r="L20" s="11"/>
      <c r="M20" s="11"/>
      <c r="N20" s="11"/>
      <c r="O20" s="11"/>
      <c r="P20" s="11"/>
      <c r="Q20" s="11"/>
      <c r="R20" s="11"/>
      <c r="S20" s="11"/>
      <c r="T20" s="11"/>
      <c r="U20" s="11"/>
      <c r="V20" s="12"/>
    </row>
    <row r="21" spans="1:22" x14ac:dyDescent="0.3">
      <c r="A21" s="10"/>
      <c r="B21" s="11"/>
      <c r="C21" s="11"/>
      <c r="D21" s="11"/>
      <c r="E21" s="11"/>
      <c r="F21" s="11"/>
      <c r="G21" s="11"/>
      <c r="H21" s="11"/>
      <c r="I21" s="11"/>
      <c r="J21" s="11"/>
      <c r="K21" s="11"/>
      <c r="L21" s="11"/>
      <c r="M21" s="11"/>
      <c r="N21" s="11"/>
      <c r="O21" s="11"/>
      <c r="P21" s="11"/>
      <c r="Q21" s="11"/>
      <c r="R21" s="11"/>
      <c r="S21" s="11"/>
      <c r="T21" s="11"/>
      <c r="U21" s="11"/>
      <c r="V21" s="12"/>
    </row>
    <row r="22" spans="1:22" x14ac:dyDescent="0.3">
      <c r="A22" s="10"/>
      <c r="B22" s="11"/>
      <c r="C22" s="11"/>
      <c r="D22" s="11"/>
      <c r="E22" s="11"/>
      <c r="F22" s="11"/>
      <c r="G22" s="11"/>
      <c r="H22" s="11"/>
      <c r="I22" s="11"/>
      <c r="J22" s="11"/>
      <c r="K22" s="11"/>
      <c r="L22" s="11"/>
      <c r="M22" s="11"/>
      <c r="N22" s="11"/>
      <c r="O22" s="11"/>
      <c r="P22" s="11"/>
      <c r="Q22" s="11"/>
      <c r="R22" s="11"/>
      <c r="S22" s="11"/>
      <c r="T22" s="11"/>
      <c r="U22" s="11"/>
      <c r="V22" s="12"/>
    </row>
    <row r="23" spans="1:22" x14ac:dyDescent="0.3">
      <c r="A23" s="10"/>
      <c r="B23" s="11"/>
      <c r="C23" s="11"/>
      <c r="D23" s="11"/>
      <c r="E23" s="11"/>
      <c r="F23" s="11"/>
      <c r="G23" s="11"/>
      <c r="H23" s="11"/>
      <c r="I23" s="11"/>
      <c r="J23" s="11"/>
      <c r="K23" s="11"/>
      <c r="L23" s="11"/>
      <c r="M23" s="11"/>
      <c r="N23" s="11"/>
      <c r="O23" s="11"/>
      <c r="P23" s="11"/>
      <c r="Q23" s="11"/>
      <c r="R23" s="11"/>
      <c r="S23" s="11"/>
      <c r="T23" s="11"/>
      <c r="U23" s="11"/>
      <c r="V23" s="12"/>
    </row>
    <row r="24" spans="1:22" x14ac:dyDescent="0.3">
      <c r="A24" s="10"/>
      <c r="B24" s="11"/>
      <c r="C24" s="11"/>
      <c r="D24" s="11"/>
      <c r="E24" s="11"/>
      <c r="F24" s="11"/>
      <c r="G24" s="11"/>
      <c r="H24" s="11"/>
      <c r="I24" s="11"/>
      <c r="J24" s="11"/>
      <c r="K24" s="11"/>
      <c r="L24" s="11"/>
      <c r="M24" s="11"/>
      <c r="N24" s="11"/>
      <c r="O24" s="11"/>
      <c r="P24" s="11"/>
      <c r="Q24" s="11"/>
      <c r="R24" s="11"/>
      <c r="S24" s="11"/>
      <c r="T24" s="11"/>
      <c r="U24" s="11"/>
      <c r="V24" s="12"/>
    </row>
    <row r="25" spans="1:22" x14ac:dyDescent="0.3">
      <c r="A25" s="10"/>
      <c r="B25" s="11"/>
      <c r="C25" s="11"/>
      <c r="D25" s="11"/>
      <c r="E25" s="11"/>
      <c r="F25" s="11"/>
      <c r="G25" s="11"/>
      <c r="H25" s="11"/>
      <c r="I25" s="11"/>
      <c r="J25" s="11"/>
      <c r="K25" s="11"/>
      <c r="L25" s="11"/>
      <c r="M25" s="11"/>
      <c r="N25" s="11"/>
      <c r="O25" s="11"/>
      <c r="P25" s="11"/>
      <c r="Q25" s="11"/>
      <c r="R25" s="11"/>
      <c r="S25" s="11"/>
      <c r="T25" s="11"/>
      <c r="U25" s="11"/>
      <c r="V25" s="12"/>
    </row>
    <row r="26" spans="1:22" x14ac:dyDescent="0.3">
      <c r="A26" s="10"/>
      <c r="B26" s="11"/>
      <c r="C26" s="11"/>
      <c r="D26" s="11"/>
      <c r="E26" s="11"/>
      <c r="F26" s="11"/>
      <c r="G26" s="11"/>
      <c r="H26" s="11"/>
      <c r="I26" s="11"/>
      <c r="J26" s="11"/>
      <c r="K26" s="11"/>
      <c r="L26" s="11"/>
      <c r="M26" s="11"/>
      <c r="N26" s="11"/>
      <c r="O26" s="11"/>
      <c r="P26" s="11"/>
      <c r="Q26" s="11"/>
      <c r="R26" s="11"/>
      <c r="S26" s="11"/>
      <c r="T26" s="11"/>
      <c r="U26" s="11"/>
      <c r="V26" s="12"/>
    </row>
    <row r="27" spans="1:22" x14ac:dyDescent="0.3">
      <c r="A27" s="10"/>
      <c r="B27" s="11"/>
      <c r="C27" s="11"/>
      <c r="D27" s="11"/>
      <c r="E27" s="11"/>
      <c r="F27" s="11"/>
      <c r="G27" s="11"/>
      <c r="H27" s="11"/>
      <c r="I27" s="11"/>
      <c r="J27" s="11"/>
      <c r="K27" s="11"/>
      <c r="L27" s="11"/>
      <c r="M27" s="11"/>
      <c r="N27" s="11"/>
      <c r="O27" s="11"/>
      <c r="P27" s="11"/>
      <c r="Q27" s="11"/>
      <c r="R27" s="11"/>
      <c r="S27" s="11"/>
      <c r="T27" s="11"/>
      <c r="U27" s="11"/>
      <c r="V27" s="12"/>
    </row>
    <row r="28" spans="1:22" x14ac:dyDescent="0.3">
      <c r="A28" s="10"/>
      <c r="B28" s="11"/>
      <c r="C28" s="11"/>
      <c r="D28" s="11"/>
      <c r="E28" s="11"/>
      <c r="F28" s="11"/>
      <c r="G28" s="11"/>
      <c r="H28" s="11"/>
      <c r="I28" s="11"/>
      <c r="J28" s="11"/>
      <c r="K28" s="11"/>
      <c r="L28" s="11"/>
      <c r="M28" s="11"/>
      <c r="N28" s="11"/>
      <c r="O28" s="11"/>
      <c r="P28" s="11"/>
      <c r="Q28" s="11"/>
      <c r="R28" s="11"/>
      <c r="S28" s="11"/>
      <c r="T28" s="11"/>
      <c r="U28" s="11"/>
      <c r="V28" s="12"/>
    </row>
    <row r="29" spans="1:22" x14ac:dyDescent="0.3">
      <c r="A29" s="10"/>
      <c r="B29" s="11"/>
      <c r="C29" s="11"/>
      <c r="D29" s="11"/>
      <c r="E29" s="11"/>
      <c r="F29" s="11"/>
      <c r="G29" s="11"/>
      <c r="H29" s="11"/>
      <c r="I29" s="11"/>
      <c r="J29" s="11"/>
      <c r="K29" s="11"/>
      <c r="L29" s="11"/>
      <c r="M29" s="11"/>
      <c r="N29" s="11"/>
      <c r="O29" s="11"/>
      <c r="P29" s="11"/>
      <c r="Q29" s="11"/>
      <c r="R29" s="11"/>
      <c r="S29" s="11"/>
      <c r="T29" s="11"/>
      <c r="U29" s="11"/>
      <c r="V29" s="12"/>
    </row>
    <row r="30" spans="1:22" x14ac:dyDescent="0.3">
      <c r="A30" s="10"/>
      <c r="B30" s="11"/>
      <c r="C30" s="11"/>
      <c r="D30" s="11"/>
      <c r="E30" s="11"/>
      <c r="F30" s="11"/>
      <c r="G30" s="11"/>
      <c r="H30" s="11"/>
      <c r="I30" s="11"/>
      <c r="J30" s="11"/>
      <c r="K30" s="11"/>
      <c r="L30" s="11"/>
      <c r="M30" s="11"/>
      <c r="N30" s="11"/>
      <c r="O30" s="11"/>
      <c r="P30" s="11"/>
      <c r="Q30" s="11"/>
      <c r="R30" s="11"/>
      <c r="S30" s="11"/>
      <c r="T30" s="11"/>
      <c r="U30" s="11"/>
      <c r="V30" s="12"/>
    </row>
    <row r="31" spans="1:22" x14ac:dyDescent="0.3">
      <c r="A31" s="10"/>
      <c r="B31" s="11"/>
      <c r="C31" s="11"/>
      <c r="D31" s="11"/>
      <c r="E31" s="11"/>
      <c r="F31" s="11"/>
      <c r="G31" s="11"/>
      <c r="H31" s="11"/>
      <c r="I31" s="11"/>
      <c r="J31" s="11"/>
      <c r="K31" s="11"/>
      <c r="L31" s="11"/>
      <c r="M31" s="11"/>
      <c r="N31" s="11"/>
      <c r="O31" s="11"/>
      <c r="P31" s="11"/>
      <c r="Q31" s="11"/>
      <c r="R31" s="11"/>
      <c r="S31" s="11"/>
      <c r="T31" s="11"/>
      <c r="U31" s="11"/>
      <c r="V31" s="12"/>
    </row>
    <row r="32" spans="1:22" ht="15" thickBot="1" x14ac:dyDescent="0.35">
      <c r="A32" s="13"/>
      <c r="B32" s="14"/>
      <c r="C32" s="14"/>
      <c r="D32" s="14"/>
      <c r="E32" s="14"/>
      <c r="F32" s="14"/>
      <c r="G32" s="14"/>
      <c r="H32" s="14"/>
      <c r="I32" s="14"/>
      <c r="J32" s="14"/>
      <c r="K32" s="14"/>
      <c r="L32" s="14"/>
      <c r="M32" s="14"/>
      <c r="N32" s="14"/>
      <c r="O32" s="14"/>
      <c r="P32" s="14"/>
      <c r="Q32" s="14"/>
      <c r="R32" s="14"/>
      <c r="S32" s="14"/>
      <c r="T32" s="14"/>
      <c r="U32" s="14"/>
      <c r="V32"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DE13-0E33-4FD4-B959-C9C6539BE51D}">
  <dimension ref="B2:P86"/>
  <sheetViews>
    <sheetView topLeftCell="A47" zoomScale="51" workbookViewId="0">
      <selection activeCell="B60" sqref="B60"/>
    </sheetView>
  </sheetViews>
  <sheetFormatPr defaultRowHeight="14.4" x14ac:dyDescent="0.3"/>
  <cols>
    <col min="1" max="1" width="20.33203125" bestFit="1" customWidth="1"/>
    <col min="2" max="2" width="18.88671875" bestFit="1" customWidth="1"/>
    <col min="3" max="3" width="20.33203125" bestFit="1" customWidth="1"/>
    <col min="4" max="4" width="16.21875" bestFit="1" customWidth="1"/>
    <col min="5" max="6" width="18.21875" bestFit="1" customWidth="1"/>
    <col min="7" max="7" width="10.77734375" bestFit="1" customWidth="1"/>
    <col min="8" max="8" width="9" bestFit="1" customWidth="1"/>
    <col min="9" max="14" width="10" bestFit="1" customWidth="1"/>
    <col min="15" max="15" width="20.33203125" bestFit="1" customWidth="1"/>
    <col min="16" max="16" width="16.44140625" bestFit="1" customWidth="1"/>
    <col min="17" max="33" width="10" bestFit="1" customWidth="1"/>
    <col min="34" max="34" width="7" bestFit="1" customWidth="1"/>
    <col min="35" max="35" width="10.77734375" bestFit="1" customWidth="1"/>
  </cols>
  <sheetData>
    <row r="2" spans="2:16" x14ac:dyDescent="0.3">
      <c r="O2" s="2" t="s">
        <v>41</v>
      </c>
      <c r="P2" t="s">
        <v>55</v>
      </c>
    </row>
    <row r="3" spans="2:16" x14ac:dyDescent="0.3">
      <c r="O3" s="3" t="s">
        <v>14</v>
      </c>
      <c r="P3" s="6">
        <v>147.5</v>
      </c>
    </row>
    <row r="4" spans="2:16" x14ac:dyDescent="0.3">
      <c r="B4" s="2" t="s">
        <v>41</v>
      </c>
      <c r="C4" t="s">
        <v>51</v>
      </c>
      <c r="O4" s="3" t="s">
        <v>21</v>
      </c>
      <c r="P4" s="6">
        <v>675.48000000000036</v>
      </c>
    </row>
    <row r="5" spans="2:16" x14ac:dyDescent="0.3">
      <c r="B5" s="3" t="s">
        <v>44</v>
      </c>
      <c r="C5" s="5">
        <v>105474.65649999997</v>
      </c>
      <c r="O5" s="3" t="s">
        <v>25</v>
      </c>
      <c r="P5" s="6">
        <v>536.49999999999966</v>
      </c>
    </row>
    <row r="6" spans="2:16" x14ac:dyDescent="0.3">
      <c r="B6" s="3" t="s">
        <v>45</v>
      </c>
      <c r="C6" s="5">
        <v>112039.55739999998</v>
      </c>
      <c r="O6" s="3" t="s">
        <v>9</v>
      </c>
      <c r="P6" s="6">
        <v>200.00000000000011</v>
      </c>
    </row>
    <row r="7" spans="2:16" x14ac:dyDescent="0.3">
      <c r="B7" s="3" t="s">
        <v>46</v>
      </c>
      <c r="C7" s="5">
        <v>114600.35209999997</v>
      </c>
      <c r="O7" s="3" t="s">
        <v>17</v>
      </c>
      <c r="P7" s="6">
        <v>244.51000000000016</v>
      </c>
    </row>
    <row r="8" spans="2:16" x14ac:dyDescent="0.3">
      <c r="B8" s="3" t="s">
        <v>47</v>
      </c>
      <c r="C8" s="5">
        <v>117800.20879999998</v>
      </c>
      <c r="O8" s="3" t="s">
        <v>39</v>
      </c>
      <c r="P8" s="6"/>
    </row>
    <row r="9" spans="2:16" x14ac:dyDescent="0.3">
      <c r="B9" s="3" t="s">
        <v>48</v>
      </c>
      <c r="C9" s="5">
        <v>116200.47279999999</v>
      </c>
      <c r="O9" s="3" t="s">
        <v>40</v>
      </c>
      <c r="P9" s="6">
        <v>1803.9900000000002</v>
      </c>
    </row>
    <row r="10" spans="2:16" x14ac:dyDescent="0.3">
      <c r="B10" s="3" t="s">
        <v>49</v>
      </c>
      <c r="C10" s="5">
        <v>101800.28089999997</v>
      </c>
    </row>
    <row r="11" spans="2:16" x14ac:dyDescent="0.3">
      <c r="B11" s="3" t="s">
        <v>50</v>
      </c>
      <c r="C11" s="5">
        <v>101600.33069999999</v>
      </c>
    </row>
    <row r="12" spans="2:16" x14ac:dyDescent="0.3">
      <c r="B12" s="3" t="s">
        <v>40</v>
      </c>
      <c r="C12" s="6">
        <v>769515.85919999983</v>
      </c>
    </row>
    <row r="20" spans="2:3" x14ac:dyDescent="0.3">
      <c r="B20" s="2" t="s">
        <v>41</v>
      </c>
      <c r="C20" t="s">
        <v>51</v>
      </c>
    </row>
    <row r="21" spans="2:3" x14ac:dyDescent="0.3">
      <c r="B21" s="3" t="s">
        <v>14</v>
      </c>
      <c r="C21" s="5">
        <v>103200.26299999992</v>
      </c>
    </row>
    <row r="22" spans="2:3" x14ac:dyDescent="0.3">
      <c r="B22" s="3" t="s">
        <v>21</v>
      </c>
      <c r="C22" s="5">
        <v>376999.80689999991</v>
      </c>
    </row>
    <row r="23" spans="2:3" x14ac:dyDescent="0.3">
      <c r="B23" s="3" t="s">
        <v>25</v>
      </c>
      <c r="C23" s="5">
        <v>114641.69500000002</v>
      </c>
    </row>
    <row r="24" spans="2:3" x14ac:dyDescent="0.3">
      <c r="B24" s="3" t="s">
        <v>9</v>
      </c>
      <c r="C24" s="5">
        <v>125674.29029999988</v>
      </c>
    </row>
    <row r="25" spans="2:3" x14ac:dyDescent="0.3">
      <c r="B25" s="3" t="s">
        <v>17</v>
      </c>
      <c r="C25" s="5">
        <v>48999.803999999967</v>
      </c>
    </row>
    <row r="26" spans="2:3" x14ac:dyDescent="0.3">
      <c r="B26" s="3" t="s">
        <v>40</v>
      </c>
      <c r="C26" s="6">
        <v>769515.85919999972</v>
      </c>
    </row>
    <row r="41" spans="2:6" x14ac:dyDescent="0.3">
      <c r="B41" s="2" t="s">
        <v>41</v>
      </c>
      <c r="C41" t="s">
        <v>51</v>
      </c>
    </row>
    <row r="42" spans="2:6" x14ac:dyDescent="0.3">
      <c r="B42" s="3" t="s">
        <v>24</v>
      </c>
      <c r="C42" s="5">
        <v>100600.13129999998</v>
      </c>
    </row>
    <row r="43" spans="2:6" x14ac:dyDescent="0.3">
      <c r="B43" s="3" t="s">
        <v>20</v>
      </c>
      <c r="C43" s="5">
        <v>241714.11570000008</v>
      </c>
    </row>
    <row r="44" spans="2:6" x14ac:dyDescent="0.3">
      <c r="B44" s="3" t="s">
        <v>13</v>
      </c>
      <c r="C44" s="5">
        <v>211201.04059999986</v>
      </c>
    </row>
    <row r="45" spans="2:6" x14ac:dyDescent="0.3">
      <c r="B45" s="3" t="s">
        <v>16</v>
      </c>
      <c r="C45" s="5">
        <v>136200.26649999997</v>
      </c>
    </row>
    <row r="46" spans="2:6" x14ac:dyDescent="0.3">
      <c r="B46" s="3" t="s">
        <v>27</v>
      </c>
      <c r="C46" s="5">
        <v>79800.305099999983</v>
      </c>
      <c r="F46" s="3"/>
    </row>
    <row r="47" spans="2:6" x14ac:dyDescent="0.3">
      <c r="B47" s="3" t="s">
        <v>40</v>
      </c>
      <c r="C47" s="5">
        <v>769515.85919999983</v>
      </c>
      <c r="F47" s="3"/>
    </row>
    <row r="48" spans="2:6" x14ac:dyDescent="0.3">
      <c r="F48" s="3"/>
    </row>
    <row r="49" spans="2:6" x14ac:dyDescent="0.3">
      <c r="F49" s="3"/>
    </row>
    <row r="50" spans="2:6" x14ac:dyDescent="0.3">
      <c r="F50" s="3"/>
    </row>
    <row r="58" spans="2:6" x14ac:dyDescent="0.3">
      <c r="B58" s="2" t="s">
        <v>41</v>
      </c>
      <c r="C58" t="s">
        <v>51</v>
      </c>
    </row>
    <row r="59" spans="2:6" x14ac:dyDescent="0.3">
      <c r="B59" s="3" t="s">
        <v>37</v>
      </c>
      <c r="C59" s="5">
        <v>239200.23550000007</v>
      </c>
    </row>
    <row r="60" spans="2:6" x14ac:dyDescent="0.3">
      <c r="B60" s="3" t="s">
        <v>22</v>
      </c>
      <c r="C60" s="5">
        <v>361715.02650000021</v>
      </c>
    </row>
    <row r="61" spans="2:6" x14ac:dyDescent="0.3">
      <c r="B61" s="3" t="s">
        <v>11</v>
      </c>
      <c r="C61" s="5">
        <v>168600.59719999996</v>
      </c>
    </row>
    <row r="62" spans="2:6" x14ac:dyDescent="0.3">
      <c r="B62" s="3" t="s">
        <v>39</v>
      </c>
      <c r="C62" s="5"/>
    </row>
    <row r="63" spans="2:6" x14ac:dyDescent="0.3">
      <c r="B63" s="3" t="s">
        <v>40</v>
      </c>
      <c r="C63" s="5">
        <v>769515.8592000003</v>
      </c>
    </row>
    <row r="71" spans="2:3" x14ac:dyDescent="0.3">
      <c r="B71" s="2" t="s">
        <v>41</v>
      </c>
      <c r="C71" t="s">
        <v>51</v>
      </c>
    </row>
    <row r="72" spans="2:3" x14ac:dyDescent="0.3">
      <c r="B72" s="3" t="s">
        <v>36</v>
      </c>
      <c r="C72" s="6">
        <v>178600.473</v>
      </c>
    </row>
    <row r="73" spans="2:3" x14ac:dyDescent="0.3">
      <c r="B73" s="3" t="s">
        <v>18</v>
      </c>
      <c r="C73" s="6">
        <v>285713.99940000009</v>
      </c>
    </row>
    <row r="74" spans="2:3" x14ac:dyDescent="0.3">
      <c r="B74" s="3" t="s">
        <v>10</v>
      </c>
      <c r="C74" s="6">
        <v>305201.38679999986</v>
      </c>
    </row>
    <row r="75" spans="2:3" x14ac:dyDescent="0.3">
      <c r="B75" s="3" t="s">
        <v>39</v>
      </c>
      <c r="C75" s="6"/>
    </row>
    <row r="76" spans="2:3" x14ac:dyDescent="0.3">
      <c r="B76" s="3" t="s">
        <v>40</v>
      </c>
      <c r="C76" s="6">
        <v>769515.85919999995</v>
      </c>
    </row>
    <row r="85" spans="2:4" x14ac:dyDescent="0.3">
      <c r="B85" t="s">
        <v>56</v>
      </c>
      <c r="C85" t="s">
        <v>53</v>
      </c>
      <c r="D85" t="s">
        <v>54</v>
      </c>
    </row>
    <row r="86" spans="2:4" x14ac:dyDescent="0.3">
      <c r="B86" s="5">
        <v>3029.5899968503945</v>
      </c>
      <c r="C86" s="6">
        <v>254</v>
      </c>
      <c r="D86" s="6">
        <v>29.05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9. Sales-Data-Analysis</vt:lpstr>
      <vt:lpstr>dashboard 1</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Kumaresh Biswas</cp:lastModifiedBy>
  <dcterms:created xsi:type="dcterms:W3CDTF">2026-05-09T15:42:56Z</dcterms:created>
  <dcterms:modified xsi:type="dcterms:W3CDTF">2026-05-10T12:59:21Z</dcterms:modified>
</cp:coreProperties>
</file>